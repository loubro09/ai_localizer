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ea prompt" sheetId="1" r:id="rId5"/>
    <sheet state="visible" name="Pixel prompt" sheetId="2" r:id="rId6"/>
    <sheet state="visible" name="Semantic prompt" sheetId="3" r:id="rId7"/>
    <sheet state="visible" name="Double prompt" sheetId="4" r:id="rId8"/>
    <sheet state="visible" name="Raw" sheetId="5" r:id="rId9"/>
    <sheet state="visible" name="Gray Scale" sheetId="6" r:id="rId10"/>
    <sheet state="visible" name="Low Light" sheetId="7" r:id="rId11"/>
    <sheet state="visible" name="Stats" sheetId="8" r:id="rId12"/>
    <sheet state="visible" name="Mean EE Stapel" sheetId="9" r:id="rId13"/>
    <sheet state="visible" name="Diff max-min EE stapel" sheetId="10" r:id="rId14"/>
  </sheets>
  <definedNames/>
  <calcPr/>
</workbook>
</file>

<file path=xl/sharedStrings.xml><?xml version="1.0" encoding="utf-8"?>
<sst xmlns="http://schemas.openxmlformats.org/spreadsheetml/2006/main" count="2254" uniqueCount="985">
  <si>
    <t>Id</t>
  </si>
  <si>
    <t>Floor</t>
  </si>
  <si>
    <t>Image id</t>
  </si>
  <si>
    <t>Image Type</t>
  </si>
  <si>
    <t>True x</t>
  </si>
  <si>
    <t>True y</t>
  </si>
  <si>
    <t>Predicted x</t>
  </si>
  <si>
    <t>Predicted y</t>
  </si>
  <si>
    <t>Euclidean error</t>
  </si>
  <si>
    <t>Reasoning</t>
  </si>
  <si>
    <t>Floor &amp; Image id</t>
  </si>
  <si>
    <t>Column 12</t>
  </si>
  <si>
    <t>Unique floor &amp; image</t>
  </si>
  <si>
    <t>Max EE</t>
  </si>
  <si>
    <t>Min EE</t>
  </si>
  <si>
    <t>Diff between max and min</t>
  </si>
  <si>
    <t>No of changed groups</t>
  </si>
  <si>
    <t>Percentage of changed groups</t>
  </si>
  <si>
    <t>T1.1</t>
  </si>
  <si>
    <t>Floor 5</t>
  </si>
  <si>
    <t>Wide</t>
  </si>
  <si>
    <t>The query image most likely shows the pantry/kitchen area labeled 505 PENRTY. Visible kitchenette fixtures, sloped ceiling, and a doorway into an office match this room. The camera appears to be standing inside the pantry near its open side, looking toward the kitchenette wall and the door to the adjacent office, so the best estimate is near the center-lower part of room 505.</t>
  </si>
  <si>
    <t>T1.2</t>
  </si>
  <si>
    <t xml:space="preserve">The query image most likely shows the pantry/kitchen area labeled 505 PENRTY: it has a kitchenette with fridge, sink, microwaves, and sloped ceiling/window geometry matching the outer roof edge. The camera appears to be inside that pantry, near its open side toward the large office area, facing the kitchen counter and doorway, so the best estimate is a point slightly inside room 505 near its center-left edge.
</t>
  </si>
  <si>
    <t>Floor 5|1.2</t>
  </si>
  <si>
    <t>T1.3</t>
  </si>
  <si>
    <t>The query image most likely shows the kitchenette/pantry area, which matches room 505 ‘PENTRY’ on the floorplan: visible fridge, microwaves, sink, coffee area, and sloped exterior wall/window. The camera appears to be standing inside the pantry near its open side, looking toward the kitchen cabinets with the doorway to the adjacent office/open area visible ahead.</t>
  </si>
  <si>
    <t>Floor 5|1_pano</t>
  </si>
  <si>
    <t>T1.4</t>
  </si>
  <si>
    <t>The photo most likely shows the boundary between room 505 PENTRY and the open office 504 KONTORSLANDSKAP: there is a kitchenette/fridge on the right, tiled flooring in the foreground, carpeted open office with desks and windows on the left, and an exit door ahead. The best camera position is just inside the pentry/open-office transition area, looking toward the windows and the door.</t>
  </si>
  <si>
    <t>Floor 5|2.1</t>
  </si>
  <si>
    <t>T1.5</t>
  </si>
  <si>
    <t xml:space="preserve">The photo most likely shows the pantry/open office edge around room 505 PENRTY opening into 504 KONTORSLANDSKAP. Visible clues are the kitchenette refrigerator on the right, tiled pantry floor transitioning to carpeted open office on the left, and large exterior windows in the office area. The camera appears to stand in the pantry/open office threshold, just inside the tiled area facing toward the open office and windows.
</t>
  </si>
  <si>
    <t>Floor 5|2.2</t>
  </si>
  <si>
    <t>T1.6</t>
  </si>
  <si>
    <t>The query shows the pantry/open-office threshold: tiled kitchenette floor on the right with a tall fridge, carpeted open office with desks and windows on the left, and a small passage/door ahead. This best matches the 505 PENTRY opening into 504 KONTORSLANDSKAP near the small internal passage, so the camera is placed just inside the pantry edge facing into the open office.</t>
  </si>
  <si>
    <t>Floor 5|2.pano</t>
  </si>
  <si>
    <t>T1.7</t>
  </si>
  <si>
    <t>1_pano</t>
  </si>
  <si>
    <t>Panorama</t>
  </si>
  <si>
    <t>The query shows a pantry/kitchenette opening directly into a larger meeting/lounge area with a sloped exterior wall and a row of low windows. On the plan, this best matches room 505 PENRTY adjacent to 506 MÖTESRUM. The camera is most likely positioned in the pantry area near its opening toward the meeting room, looking across the kitchenette and windows.</t>
  </si>
  <si>
    <t>Floor 5|3.1</t>
  </si>
  <si>
    <t>T1.8</t>
  </si>
  <si>
    <t>The query shows a pantry/break area with kitchenette and a sloped facade wall with a row of low windows, opening directly toward an open office. This best matches room 505 PENTRY beside the large 504 office area and near the angled exterior wall. The point is placed inside 505 near its opening toward the office, where the camera could look across the kitchenette and toward the windows.</t>
  </si>
  <si>
    <t>Floor 5|3.2</t>
  </si>
  <si>
    <t>T1.9</t>
  </si>
  <si>
    <t>The query shows a pantry/break area with kitchenette, microwaves, fridge, dining tables, and a sloped wall with low windows. This best matches room 505 PENRTY adjacent to the open office 504. The camera is likely positioned inside the pantry near its middle-left side, looking toward the windowed outer wall and kitchenette.</t>
  </si>
  <si>
    <t>Floor 5|3_pano</t>
  </si>
  <si>
    <t>T1.10</t>
  </si>
  <si>
    <t>The photo shows a small office under a sloped roof with two exterior windows meeting at a corner, which best matches the corner office 507. The camera appears to be inside that room near the entrance/inner side, looking toward the angled exterior corner windows, so I placed the point slightly inside room 507 away from the window corner.</t>
  </si>
  <si>
    <t>Floor 5|4.1</t>
  </si>
  <si>
    <t>T1.11</t>
  </si>
  <si>
    <t>The photo shows a very small perimeter office with a strongly sloped ceiling and two exterior windows meeting near a corner, which best matches the wedge-shaped top office 507 along the angled facade. The camera appears to be placed inside that room near its inner side, looking outward toward the two windows, so I place it slightly back from the facade within room 507.</t>
  </si>
  <si>
    <t>Floor 5|4.2</t>
  </si>
  <si>
    <t>T1.12</t>
  </si>
  <si>
    <t>The photo shows a very small office under a sloped roof with two exterior windows meeting at a corner, which best matches the small corner office 507. The camera appears placed just inside the doorway looking toward the windowed corner, so the best estimate is in the interior of room 507 near its entrance side.</t>
  </si>
  <si>
    <t>Floor 5|4.pano</t>
  </si>
  <si>
    <t>T1.13</t>
  </si>
  <si>
    <t xml:space="preserve">The query appears to be taken inside a small office looking out through a doorway into the larger open office area with visible columns. On the plan, room 517 (KONTOR) best matches a small office directly connected to the open area 504, with the door opening toward the open office. The camera is likely positioned inside 517 near the back-right side of the room, facing outward through the doorway.
</t>
  </si>
  <si>
    <t>Floor 5|5.1</t>
  </si>
  <si>
    <t>T1.14</t>
  </si>
  <si>
    <t>The photo is most consistent with a small office room opening into the larger open office area 504 KONTORSLANDSKAP. The visible interior column and the doorway looking out toward a larger space fit best with room 517 KONTOR, which sits just below 504 and has a door into that open area. The point is placed inside 517 near its doorway, matching the camera looking outward into 504.</t>
  </si>
  <si>
    <t>Floor 5|5.2</t>
  </si>
  <si>
    <t>T1.15</t>
  </si>
  <si>
    <t xml:space="preserve">The photo appears to be taken inside a small office with a structural column, looking out through a single door into the larger open office area with visible columns and furniture. On the floorplan, room 517 (KONTOR) best matches this setup: a small office opening directly into the open workspace 504 near the service core. The point is placed inside room 517, a bit back from the doorway, matching the camera position looking outward into 504.
</t>
  </si>
  <si>
    <t>Floor 5|5.pano</t>
  </si>
  <si>
    <t>T1.16</t>
  </si>
  <si>
    <t>2.pano</t>
  </si>
  <si>
    <t>The query shows a small office under a sloped roof with a row of exterior windows on one long side and a single door opening to the corridor. On the floorplan, the best match is office 507 at the upper-right edge: it has the angled exterior wall with windows and connects by one door to the internal circulation. The camera appears placed inside that office near the windowed side, looking back toward the door, so the best position is within room 507 slightly in from the exterior wall.</t>
  </si>
  <si>
    <t>Floor 5|6.1</t>
  </si>
  <si>
    <t>T1.17</t>
  </si>
  <si>
    <t xml:space="preserve">The query shows a small perimeter office with a sloped exterior wall/ceiling and a row of windows, looking back through the door into a corridor. On the floorplan, the best match is one of the upper-right offices along the angled facade, most likely room 507. The point is placed inside that office near the windowed outer wall, with the camera aimed back toward the door into the corridor.
</t>
  </si>
  <si>
    <t>Floor 5|6.2</t>
  </si>
  <si>
    <t>T1.18</t>
  </si>
  <si>
    <t>The query shows a small perimeter office under a sloped roof with a long row of exterior windows on the right and a doorway opening into a corridor/passage. This best matches one of the angled offices along the northeast facade, most likely room 507. The point is placed inside 507 near the windowed outer wall, looking back toward the door into the passage/corridor.</t>
  </si>
  <si>
    <t>Floor 5|6_pano</t>
  </si>
  <si>
    <t>T1.19</t>
  </si>
  <si>
    <t>The query shows a small office with several desks directly against an exterior window wall and a faceted corner view. On the plan, the best match is room 507 KONTOR at the upper-right perimeter, which has this angled exterior facade and office scale. The camera is likely placed inside 507 a few meters back from the windows, near the inner side of the room facing outward.</t>
  </si>
  <si>
    <t>Floor 3|1.1</t>
  </si>
  <si>
    <t>T1.20</t>
  </si>
  <si>
    <t>The query shows a small office with several desks directly along an exterior window wall. On the floorplan, the most likely match is one of the wedge-shaped perimeter offices on the right side rather than the large open office. The view and room size best fit room 507 KONTOR, with the camera placed near its interior side looking outward toward the angled facade windows.</t>
  </si>
  <si>
    <t>Floor 3|1.2</t>
  </si>
  <si>
    <t>T1.21</t>
  </si>
  <si>
    <t>The query shows a small perimeter office with several desks and a faceted exterior window wall. On the floorplan, the best match is room 508 KONTOR along the angled east facade, which has broad exterior windows and office-sized proportions. The camera is most likely positioned inside 508 near its interior side, facing outward toward the windows.</t>
  </si>
  <si>
    <t>Floor 3|1.pano</t>
  </si>
  <si>
    <t>T1.22</t>
  </si>
  <si>
    <t>The query image most likely shows the large meeting room 506 (MÖTESRUM): it has a conference table and chairs by a long windowed wall, matching this room better than the smaller offices. The camera appears to be inside the room near its lower-left/central side, looking toward an internal partition/TV wall with the windows off to the right, so the best estimate is a point within room 506 slightly left of center.</t>
  </si>
  <si>
    <t>Floor 3|2.1</t>
  </si>
  <si>
    <t>T1.23</t>
  </si>
  <si>
    <t>The query image most likely shows the meeting room 506 (MÖTESRUM): it has a conference table and chairs by a row of low windows along the exterior wall. The TV mounted on an angled interior partition matches the distinctive slanted wall inside room 506, so the camera is best placed inside 506 near the lower-right side of the room, looking toward that partition and the windows.</t>
  </si>
  <si>
    <t>Floor 3|2.2</t>
  </si>
  <si>
    <t>T1.24</t>
  </si>
  <si>
    <t>The query shows a furnished meeting room/open collaboration area: conference table and chairs by a windowed facade, plus a TV mounted on a partition wall. On the floorplan, room 506 (MÖTESRUM) best matches this type of space and location near the angled exterior windows. The camera is likely positioned inside 506 near its lower-left/central side, looking toward an internal partition and the window side.</t>
  </si>
  <si>
    <t>Floor 3|2_pano</t>
  </si>
  <si>
    <t>T1.25</t>
  </si>
  <si>
    <t>3_pano</t>
  </si>
  <si>
    <t>The query shows a conference/meeting room with a large oval table, exterior windows along one side, and glass-partitioned rooms/corridor on the opposite side. On the floorplan, room 506 (MÖTESRUM) best matches this layout: it is the main meeting room on the windowed upper facade, adjacent to the internal corridor and nearby glass-fronted office area. The camera is most likely placed inside 506 near its lower-central edge, looking across the table toward the interior side.</t>
  </si>
  <si>
    <t>Floor 3|3.1</t>
  </si>
  <si>
    <t>T1.26</t>
  </si>
  <si>
    <t>The query shows a meeting room/open office area with many windows along an exterior wall, a large conference table, and adjacent smaller glass-fronted offices. This best matches room 506 MÖTESRUM at the top center-right of the plan, looking toward the neighboring office rooms along the angled facade. The camera is most likely placed inside 506 near its lower-left/central side.</t>
  </si>
  <si>
    <t>Floor 3|3.2</t>
  </si>
  <si>
    <t>T1.27</t>
  </si>
  <si>
    <t xml:space="preserve">The query shows a large meeting room with a big conference table, exterior windows along one side, and glass-partitioned offices/corridor on the opposite side. This best matches room 506 MÖTESRUM at the top-center of the plan. The camera appears positioned inside that meeting room, slightly toward the window side and looking across toward the interior glass wall and doors.
</t>
  </si>
  <si>
    <t>Floor 3|3_pano</t>
  </si>
  <si>
    <t>T1.31</t>
  </si>
  <si>
    <t>The query shows an open office area with perimeter windows and several small glass meeting booths/rooms with angled walls. On the floorplan, the best match is the large open office 504 KONTORSLANDSKAP next to the diagonal BALKONG edge, where several diamond/angled glass pods are drawn. The camera is most likely inside the upper-left of this open office, beside one of those glass pods and facing toward the windowed perimeter.</t>
  </si>
  <si>
    <t>Floor 3|4.1</t>
  </si>
  <si>
    <t>T1.32</t>
  </si>
  <si>
    <t xml:space="preserve">The query shows a glass-partitioned open office area with many desks and exterior windows along angled facades, matching the large open workspace 504 KONTORSLANDSKAP. The camera appears to be near the small internal glass meeting pod/partition zone on the left side of that room, just southeast of passage 503 and looking toward the windowed perimeter.
</t>
  </si>
  <si>
    <t>Floor 3|4.2</t>
  </si>
  <si>
    <t>T1.33</t>
  </si>
  <si>
    <t>The query shows an open office area with perimeter windows and several small polygonal glass meeting rooms/booths. This best matches the central-right open office room 504 KONTORSLANDSKAP next to the diagonal balcony edge, where multiple diamond-shaped glass rooms are drawn. The camera appears to be just beside one of these glass rooms, near the upper-left part of 504, looking toward the exterior windows.</t>
  </si>
  <si>
    <t>Floor 3|4.pano</t>
  </si>
  <si>
    <t>T1.34</t>
  </si>
  <si>
    <t>The query shows a small glass-partitioned meeting room with a table and chairs, directly adjacent to an open office area and along the exterior window line. On the floorplan, the best match is room 506 (MÖTESRUM) at the top center-right, beside the open office 504. The camera appears to be positioned near the inner-left side of that meeting room, looking through the glass wall toward the open office.</t>
  </si>
  <si>
    <t>Floor 3|5.1</t>
  </si>
  <si>
    <t>T1.35</t>
  </si>
  <si>
    <t>The query shows a small glazed meeting room with a table and chairs, immediately beside a larger open office area and along the exterior window facade. On the plan, room 506 (MÖTESRUM) best matches this: it is the meeting room at the top edge with windows on the exterior side and adjacent to the open office zone. The camera is most likely near the left/west end of room 506, looking through the glass wall toward the office area.</t>
  </si>
  <si>
    <t>Floor 3|5.2</t>
  </si>
  <si>
    <t>T1.36</t>
  </si>
  <si>
    <t>The query shows a small glass-walled meeting room with a table and chairs, directly adjacent to a larger open office area and on the exterior window line. On the floorplan, room 506 MÖTESRUM best matches this setup: it is a meeting room along the top window façade and beside the large open office area 504. The point is placed inside 506 near its left/window side, matching the camera being inside the meeting room looking through glass toward the open office.</t>
  </si>
  <si>
    <t>Floor 3|5.pano</t>
  </si>
  <si>
    <t>T1.37</t>
  </si>
  <si>
    <t>4.pano</t>
  </si>
  <si>
    <t>The query shows a small glass-walled meeting room beside the large open office, with exterior windows on one side and a glazed partition/door opening to the office on the other. This best matches room 506 (MÖTESRUM) at the top-center/right of the plan, adjacent to 504 KONTORSLANDSKAP. The camera appears to be placed inside that meeting room near its lower-left side, looking diagonally out toward the open office.</t>
  </si>
  <si>
    <t>Floor 3|6.1</t>
  </si>
  <si>
    <t>T1.38</t>
  </si>
  <si>
    <t>The query shows a small glass-walled meeting room with an oval table, directly adjacent to a larger open office area with many desks and extensive exterior windows along a slanted facade. This best matches room 506 (MÖTESRUM) next to the open office 504. The camera appears to be placed inside 506 near its right/east side, looking through the glass partition toward the open office and windows.</t>
  </si>
  <si>
    <t>Floor 3|6.2</t>
  </si>
  <si>
    <t>T1.39</t>
  </si>
  <si>
    <t>The query shows a small glass-walled meeting room with an oval table directly adjacent to a larger open office area along the windowed facade. On the plan, room 506 (MÖTESRUM) matches this: it is a meeting room beside the large open office 504/KONTORSLANDSKAP and along the angled exterior windows. The camera is most likely positioned inside room 506 near its lower-right side, looking through the glass toward the open office.</t>
  </si>
  <si>
    <t>Floor 3|6_pano</t>
  </si>
  <si>
    <t>T1.40</t>
  </si>
  <si>
    <t>The query shows a very small enclosed technical/storage-like room with two interior doors and double doors ahead; the wall sign appears to read KWC, which best matches the compact room 501 TEKNIKRUM near the stair/hiss core. The camera is likely positioned just inside this room facing toward the double doors, so I place it within room 501 near its upper-right side.</t>
  </si>
  <si>
    <t>T1.41</t>
  </si>
  <si>
    <t>The query shows a very small enclosed technical/electrical-style room with double doors ahead and another labeled door at right; on the plan the best match is room 501 TEKNIKRUM. The camera is likely just inside this room near its southeast side, looking roughly toward the north/northwest wall and doors.</t>
  </si>
  <si>
    <t>T1.42</t>
  </si>
  <si>
    <t>The query shows a very small service/technical room with double doors ahead and a wall label that appears to read KWC/RWC, matching the compact technical/service area 501 TEKNIKRUM near the stair core. The camera is likely inside that room, close to the doorway on the right side, facing the double doors/wall, so I place the point in the upper-right part of room 501.</t>
  </si>
  <si>
    <t>T1.43</t>
  </si>
  <si>
    <t>The query shows a small corridor with two doors labeled WC and a round column, which best matches the WC/passage area around rooms 512/514/515 next to the stair core on the right side of the plan. The camera is most likely standing in the narrow passage just outside the WC doors, looking along the short hall, near the column.</t>
  </si>
  <si>
    <t>T1.44</t>
  </si>
  <si>
    <t>The query shows a small corridor with two doors labeled WC and a visible round column. On the floorplan, the best match is the narrow passage by rooms 512 WC and 515 RWC near the stair core, where multiple WC doors open into a short hall and a column/structural element is nearby. The camera is likely positioned in that passage just west of the WC doors, looking northwest along the hall.</t>
  </si>
  <si>
    <t>T1.45</t>
  </si>
  <si>
    <t>The query shows a small corridor with two adjacent doors labeled WC and a nearby round column, which best matches the restroom passage area around rooms 510/512/515 near the stair core on the right side of the plan. The point is placed in the corridor just west of the WC doors, near the column and facing into the short hallway.</t>
  </si>
  <si>
    <t>T1.46</t>
  </si>
  <si>
    <t>5.pano</t>
  </si>
  <si>
    <t>The query shows an office corridor with several small room doors on one side, a curved hallway, and a visible column/open area to the left. This best matches the corridor along the west side of rooms 507/508/509 next to the open office area 504. The camera is likely standing in that corridor near the upper part by room 507, looking along the hallway</t>
  </si>
  <si>
    <t>T1.47</t>
  </si>
  <si>
    <t>The query shows a narrow internal corridor with several office doors on one side, a column, and daylight at the far end. This best matches the office corridor along rooms 507–509 on the right side of the plan. The camera is most likely positioned in that corridor near the middle of the 507/508 stretch, facing along the hall.</t>
  </si>
  <si>
    <t>T1.48</t>
  </si>
  <si>
    <t>The query shows an internal office corridor with several doors on one side, a freestanding round column, and an opening toward a brighter area at the end. On the plan, the best match is the corridor/passage outside rooms 507–509 and near 510/516 on the right side, where a long corridor with columns/open office adjacency runs past multiple office doors. The estimated camera position is in that corridor, roughly opposite the row of offices and looking along the passage.</t>
  </si>
  <si>
    <t>T1.49</t>
  </si>
  <si>
    <t>The query shows a small washroom with a sink/mirror immediately beside the doorway, matching the WC/RWC service area at the lower-right of the plan. The best fit is inside room 515 RWC, near the sink by the wall and facing out toward the corridor/adjacent door.</t>
  </si>
  <si>
    <t>T1.50</t>
  </si>
  <si>
    <t>The query image is most consistent with the small restroom/wash area near rooms 514–515, specifically the RWC/wc cluster beside the stair. The visible sink, mirror, soap dispenser, dark stone floor, and doorway out to carpeted office space match a restroom interior. I placed the camera just inside the restroom at the sink wall, facing outward toward the door.</t>
  </si>
  <si>
    <t>T1.51</t>
  </si>
  <si>
    <t>The query image is taken inside a small restroom/wash area with a wall-mounted sink and mirror, looking out through the door into the corridor. On the floorplan, the best match is the small WC/RWC cluster near rooms 514–516 on the right side; the camera is most likely inside room 515 RWC near the sink wall, just inside the doorway.</t>
  </si>
  <si>
    <t>T1.52</t>
  </si>
  <si>
    <t>The query image appears to be inside a restroom: it shows a tiled/wet-area wall corner with wall-mounted soap/towel dispensers and the top of a sanitary fixture. On the floorplan, the best match is the small restroom area labeled 515 RWC near rooms 514/516. The camera is likely placed near an interior corner of that restroom, so I chose a point inside 515 close to its wall corner.</t>
  </si>
  <si>
    <t>T1.53</t>
  </si>
  <si>
    <t>The query image appears to be inside a small restroom: visible soap/paper dispensers and the top of a urinal, plus a tight interior corner. On the floorplan, the best match is room 512 WC near the southeast side. The point is placed inside that WC, close to a wall corner where such fixtures would likely be mounted.</t>
  </si>
  <si>
    <t>T1.54</t>
  </si>
  <si>
    <t>The query image appears to be inside a small restroom: visible soap/towel dispenser and the top of a urinal against tiled/painted walls. On the floorplan, the best match is room 515 RWC near the bottom-right service core. The camera is most likely near a corner of that restroom, so I place the point inside 515 close to its wall corner.</t>
  </si>
  <si>
    <t>T1.55</t>
  </si>
  <si>
    <t>6_pano</t>
  </si>
  <si>
    <t>The query shows a very small restroom/wash area: sink in the foreground, soap dispenser, dark tiled floor, and a door opening to a curved corridor. On the plan, the best match is the small toilet/wash space cluster around rooms 514/515 near the right side of the floor, adjacent to passage 510 and the stair. The camera is most likely inside room 515 RWC near the sink, facing out toward the passage.</t>
  </si>
  <si>
    <t>T1.56</t>
  </si>
  <si>
    <t>The query image appears to be taken inside a small restroom/wash area: visible sink, soap dispenser, paper dispenser, radiator, and a door opening to a curved corridor. On the plan, the best match is the small restroom cluster near rooms 514/515, specifically the RWC area opening toward the curved passage by 510. The camera seems positioned inside the restroom near the sink wall, just inside the room facing the door.</t>
  </si>
  <si>
    <t>T1.57</t>
  </si>
  <si>
    <t>The query image appears to be a small restroom/wash area: visible sink, soap dispenser, paper dispenser, radiator, and a door opening to a curved corridor. On the floorplan, the best match is the restroom zone around rooms 514/515 (ST/RWC) near the curved stair core and passage 510, which is the only compact service area likely to contain sinks and open into a rounded corridor. The camera is most likely inside the wash area just by the doorway.</t>
  </si>
  <si>
    <t>T1.58</t>
  </si>
  <si>
    <t>Floor 3</t>
  </si>
  <si>
    <t>The query looks like a small perimeter office: carpeted room with strong sunlight from exterior windows, a floor box, and a glazed door opening to a larger room/corridor plus a second solid interior door. On the plan, the most likely match is one of the small south-facing offices along the lower corridor block; this point places the camera inside one such office near its center, facing inward toward the corridor-side doors.</t>
  </si>
  <si>
    <t>T1.59</t>
  </si>
  <si>
    <t>The query appears to be a small office/cell room: carpeted, strong exterior daylight from windows behind/left, an open glazed door leading into a larger shared office area, and a second solid interior door on the same wall. On the floorplan, the best match is one of the small offices along the lower central corridor, with the camera placed inside the room near its window side looking back toward the corridor-side wall and doors.</t>
  </si>
  <si>
    <t>T1.60</t>
  </si>
  <si>
    <t>The query appears to be a small cellular office: carpeted floor, one exterior window wall casting strong sunlight, an open glazed door leading to a larger office/work area, and a second solid interior door. On the plan, the most likely match is one of the small offices along the south side of the lower corridor, adjacent to the larger open office zone. I placed the camera inside one of the west-side small offices in that row, near its center and facing back toward the corridor-side doors/opening.</t>
  </si>
  <si>
    <t>T1.61</t>
  </si>
  <si>
    <t>The query shows a narrow perimeter office with large exterior windows along one long side and a door opening into an internal corridor/pantry area. On the plan, the best match is one of the small windowed offices along the southwest angled facade, just west of the central corridor/stair zone. The point is placed inside that office near the window side, matching the camera standing position looking toward the interior door.</t>
  </si>
  <si>
    <t>T1.62</t>
  </si>
  <si>
    <t>The query shows a small perimeter office with a long exterior window wall and radiator on the left, looking toward a door opening into an interior corridor/shared area. This best matches one of the narrow south-facing offices along the bottom wing; the exterior view suggests the outer façade, and the room proportions fit a typical single office. I placed the camera near the window side of one of these offices, a little inside the room and aimed toward the corridor door.</t>
  </si>
  <si>
    <t>T1.63</t>
  </si>
  <si>
    <t>The query shows a small perimeter office with a long exterior window wall on the left, a narrow side window, and a door opening into an internal corridor/kitchenette area. This best matches one of the small offices along the bottom edge of the plan opening to corridor B303 PASSAGE. The camera is likely placed near the window-side end of the second office from the left in that row, looking inward toward the corridor door.</t>
  </si>
  <si>
    <t>T1.64</t>
  </si>
  <si>
    <t>1.pano</t>
  </si>
  <si>
    <t>The query shows a small perimeter office/room with two exterior windows meeting at a corner and a door opening into a larger open area with kitchenette-like cabinetry visible beyond. On the floorplan, the best match is one of the small offices along the south facade opening into corridor B303 Passage, near the southeast side. The camera appears placed close to the exterior windowed corner of that office, looking inward toward the corridor door.</t>
  </si>
  <si>
    <t>T1.65</t>
  </si>
  <si>
    <t>The query shows a small perimeter office with two exterior windows meeting at a corner and an internal door opening toward a kitchenette/pantry-like space. On the plan, the best match is the small room just southeast of the large open office 302, along the angled facade near the balcony/passage cluster. The point is placed inside that corner room near the exterior windows, matching the camera position looking back toward the interior door.</t>
  </si>
  <si>
    <t>T1.66</t>
  </si>
  <si>
    <t>The query shows a small perimeter office/room with two exterior windows on adjacent walls and an internal glazed door opening toward the pantry/open-office cluster. This best matches room 304 (MÖTESRUM) at the angled top facade, where the camera would be placed near the corner by the windows looking inward toward the door.</t>
  </si>
  <si>
    <t>T1.67</t>
  </si>
  <si>
    <t>The photo most likely shows the large open office area 302 KONTORSLANDSKAP: a broad carpeted room with multiple exterior windows on one long side and several interior doors/openings on the opposite wall near the passage/core. The camera appears to be positioned inside this open area, closer to the windowed southwest side and aimed toward the interior wall and passage, so the best estimate is a point in the left-central part of room 302.</t>
  </si>
  <si>
    <t>T1.68</t>
  </si>
  <si>
    <t>The query shows a large open office area with a long exterior window wall on the left and several doors/openings on the opposite interior wall, matching the big open room 302 KONTORSLANDSKAP. The camera is likely positioned inside this room, somewhat right of center and facing toward the left exterior facade and the internal doors near the core.</t>
  </si>
  <si>
    <t>T1.69</t>
  </si>
  <si>
    <t>The query shows a large open office area with a long run of exterior windows on one side and several interior doors opening to a small corridor/core, which best matches room 302 KONTORSLANDSKAP. The camera is likely positioned inside the left-central part of this open room, looking toward the interior doors and passage/core area.</t>
  </si>
  <si>
    <t>T1.70</t>
  </si>
  <si>
    <t>The photo most likely shows the open office area 302 (KONTORSLANDSKAP), near its left/west side by the facade windows and round columns. The visible exterior windows, carpeted open space, and nearby internal glass door toward the core match this area. I placed the point slightly inside the west-central part of room 302, consistent with a camera looking toward the inner door/core.</t>
  </si>
  <si>
    <t>T1.71</t>
  </si>
  <si>
    <t>The query shows a large open office/common area with carpet, perimeter windows, a glazed exterior door, and multiple round structural columns. This best matches room 302 KONTORSLANDSKAP on the floorplan, which is the main open area with columns. The camera is most likely positioned in the right-central part of that room, looking toward the upper-left exterior wall and the nearby internal door/core.</t>
  </si>
  <si>
    <t>T1.72</t>
  </si>
  <si>
    <t>The photo most likely shows the open office area 302 (Kontorslandskap): large carpeted open space, perimeter windows, several round columns, and a nearby glass door toward the service/core area. The camera appears to be inside the southwest-central part of room 302, looking toward the east/southeast toward the passage/core, so the best floorplan position is around (3195, 1830)</t>
  </si>
  <si>
    <t>T1.73</t>
  </si>
  <si>
    <t>2_pano</t>
  </si>
  <si>
    <t>The query shows a large open office area with many perimeter windows, a central round column, and a small pantry/kitchenette visible inside the room. This best matches room 302 KONTORSLANDSKAP, especially near its upper-central part by the pantry/entrance zone. The point is placed slightly inside that open area near the central columns where the panorama was likely taken.</t>
  </si>
  <si>
    <t>T1.74</t>
  </si>
  <si>
    <t>The query shows a large open-plan office with many exterior windows, a small pantry/kitchenette, and round interior columns. This best matches room 302 KONTORSLANDSKAP. The camera is most likely positioned near the middle-left part of that open area, looking across toward the pantry/meeting-room side and the windowed exterior wall.</t>
  </si>
  <si>
    <t>T1.75</t>
  </si>
  <si>
    <t>The query shows a large open office area with many exterior windows along a long angled facade, plus visible interior columns and a small pantry/kitchen island. This best matches room 302 KONTORSLANDSKAP. The camera is likely placed near the middle-left portion of that open space, looking across toward the windows and pantry side.</t>
  </si>
  <si>
    <t>T1.76</t>
  </si>
  <si>
    <t>The query shows a covered exterior balcony/walkway with a long row of windows and a door into office space. On the floorplan, the distinctive diagonal area labeled 'BALKONG' along the southeast side of the large office landscape best matches this. The camera is most likely positioned on that balcony near its middle, looking along the windowed facade toward the far end.</t>
  </si>
  <si>
    <t>T1.77</t>
  </si>
  <si>
    <t>The query shows a covered exterior balcony/walkway with windows on one side and open railing/lightwell on the other. On the floorplan, this best matches the long diagonal area labeled ‘BALKONG’ beside room 302. The perspective looks along the balcony toward its narrower end, so the camera is placed on the BALKONG near its upper-left half, facing down the diagonal passage.</t>
  </si>
  <si>
    <t>T1.78</t>
  </si>
  <si>
    <t>The query shows an exterior-like covered balcony/walkway with a long windowed facade and railing/open edge on the right. On the floorplan, the clearest match is the diagonal area labeled ‘BALKONG’ beside room 302, near the small door connection from the stair/hall core. The camera is best placed partway along this balcony, close to the inner facade and looking along the walkway.</t>
  </si>
  <si>
    <t>T1.79</t>
  </si>
  <si>
    <t>The query shows a narrow exterior balcony/walkway with a glass railing and a door into a large open office area. On the floorplan, the only clear balcony-like space is labeled ‘BALKONG’ along the southeast side of room 302 KONTORSLANDSKAP. The camera is most likely standing on this balcony near the door from the balcony into the open office, roughly at the midpoint-right section of the balcony edge.</t>
  </si>
  <si>
    <t>T1.80</t>
  </si>
  <si>
    <t>The query shows a small exterior/balcony-like access space with a glass railing and a door into a large open office area. On the floorplan, the only clear matching spot is the angled balcony labeled ‘BALKONG’ connected by a door to room 302 ‘KONTORSLANDSKAP’. The camera appears to stand on the balcony near the wall and door at the upper end of that balcony, so the best estimate is just outside the door along the balcony edge.</t>
  </si>
  <si>
    <t>T1.81</t>
  </si>
  <si>
    <t>The query shows a narrow exterior balcony/walkway with a glass railing and a door into a large open office area. On the floorplan, the distinctive diagonal area labeled ‘BALKONG’ adjoining the large room 302 KONTORSLANDSKAP best matches this scene. The camera is most likely positioned on that balcony near the door into room 302, roughly at this point.</t>
  </si>
  <si>
    <t>T1.82</t>
  </si>
  <si>
    <t>The query shows an exterior-like narrow balcony/walkway with railing along the facade and a glass door into a large open room. On the plan, the best match is the long diagonal area labeled ‘BALKONG’ beside the large open office ‘302 KONTORSLANDSKAP’. The camera is most likely on that balcony near the door into 302, roughly mid-to-lower part of the diagonal walkway.</t>
  </si>
  <si>
    <t>T1.83</t>
  </si>
  <si>
    <t>The query shows an exterior balcony/walkway along the building facade with railing, windows, and a glass door into a large open office area. On the floorplan, this best matches the long diagonal area labeled BALKONG adjacent to room 302 KONTORSLANDSKAP. The camera appears to be on that balcony near the door into the open office, roughly at the middle-right part of the balcony.</t>
  </si>
  <si>
    <t>T1.84</t>
  </si>
  <si>
    <t>The query shows an outdoor balcony/walkway along the building façade with railing, windows, and a door into a large open interior space. On the floorplan, this best matches the long diagonal area labeled ‘BALKONG’ beside the open office area 302 and near passage 306. The camera appears to be on this balcony roughly around its middle section, facing along the walkway toward the right.</t>
  </si>
  <si>
    <t>T1.85</t>
  </si>
  <si>
    <t>The query shows a small elevator lobby with a lift and a glazed door opening into a larger office area. On the plan, the clearest match is the small elevator area labeled 311 ELC beside 312 MÖTESRUM and the large 302 KONTORSLANDSKAP. The camera is most likely just outside the elevator, inside that small lobby, facing toward the glazed door into the open office area.</t>
  </si>
  <si>
    <t>T1.86</t>
  </si>
  <si>
    <t>The query shows a small elevator lobby with one lift and a glazed door opening into office space. On the plan, the clearest match is the elevator area labeled 311 ELC beside rooms 309–310 and 312 MÖTESRUM in the southeast cluster. The camera appears to be standing just outside the elevator, facing it and the glazed door, so the best position is in the small lobby immediately west/northwest of the elevator core.</t>
  </si>
  <si>
    <t>T1.87</t>
  </si>
  <si>
    <t>The query shows a small elevator lobby with a lift directly ahead-left and a glazed door opening into a brighter room/corridor. On the floorplan, the best match is the elevator area labeled 311 ELC beside room 312 MÖTESRUM and the adjacent passage 306/307 on the right side of the plan. The camera is most likely standing just west of the elevator core in the small lobby, facing the elevator and the glazed door.</t>
  </si>
  <si>
    <t>T1.88</t>
  </si>
  <si>
    <t>The query image shows an enclosed stairwell with a turning staircase, narrow walls, and a tall exterior window at the landing. On the floorplan, the best match is the prominent stair core in the left-central part of the plan. The point is placed on the stair run/landing area where the camera would likely stand while looking upward toward the window.</t>
  </si>
  <si>
    <t>T1.89</t>
  </si>
  <si>
    <t>The query image shows an enclosed stairwell with a turning stair, handrails on both sides, and a tall exterior window at the landing. On the floorplan, the most likely match is the main stair core just below area 300 TRAPPHUS near HISS/B301. The point is placed on the stair run/landing where the camera would be standing while looking up toward the window.</t>
  </si>
  <si>
    <t>T1.90</t>
  </si>
  <si>
    <t>The query image shows an enclosed stairwell with a turning stair, window, and handrails on both sides. On the floorplan, the most likely match is the main stair core in the left-central part of the plan. The point is placed within that stairwell near the inner landing, matching a camera position looking upward along the next flight.</t>
  </si>
  <si>
    <t>T1.91</t>
  </si>
  <si>
    <t>The query shows a small stair/elevator lobby: stairs on the right, an elevator directly beside the landing, and a glazed door ahead. On the floorplan, the clearest match is the elevator core labeled 311 ELC next to the stair and lobby area around room 312 MÖTESRUM / passage 306-310. The camera is most likely standing in that small landing just west of the elevator and stair, facing toward the glazed door.</t>
  </si>
  <si>
    <t>T1.92</t>
  </si>
  <si>
    <t>The query shows a stair landing with an elevator directly beside it and a door opening to a bright room. On the floorplan, the clearest match is the small elevator labeled 311 ELC next to the stair core and meeting room 312 in the southeast area. The camera is most likely on the landing just west/northwest of the elevator, facing toward the door and stairs.</t>
  </si>
  <si>
    <t>T1.93</t>
  </si>
  <si>
    <t>The query shows a stair landing with an elevator directly beside it and a glazed door ahead. On the floorplan, the clearest match is the small core around room 311 ELC next to stairs and the nearby 312 MÖTESRUM/306 PASSAGE area on the right side. The point is placed on the landing just west of the elevator/stair core, matching the camera standing position looking toward the door and stair.</t>
  </si>
  <si>
    <t>T1.94</t>
  </si>
  <si>
    <t>The query shows a very small enclosed office/clinic-type room with carpet, suspended ceiling, a single inward door with a glazed panel to a corridor, and wall service fittings. On the plan, the row of many small similar rooms along the lower middle/right side best matches this type of space. The camera appears placed near the back-right corner of one such room, looking diagonally toward the door, so the best estimate is inside one of these small rooms just south of room B303 passage.</t>
  </si>
  <si>
    <t>T1.95</t>
  </si>
  <si>
    <t>The query shows a very small office/clinic-style room with carpet, a floor box, a door with interior glazing to a corridor, and a wall-mounted service hose, which best matches one of the small cellular rooms along the south corridor rather than the large open office. I placed the camera inside one of the narrow rooms in the lower middle row, near the corner opposite the corridor door, giving the shown view toward the door and side wall.</t>
  </si>
  <si>
    <t>T1.96</t>
  </si>
  <si>
    <t>The query shows a very small enclosed office/clinic-type room with carpet, a single inward door with glazed panel to a corridor, and visible service outlets/ducting on the wall. On the plan, the best match is one of the small repeated rooms along the lower-central corridor; this point places the camera inside one such room, near the back-right side, looking toward its corridor door.</t>
  </si>
  <si>
    <t>T1.97</t>
  </si>
  <si>
    <t>The photo appears to be taken in the narrow glazed corridor/balcony area labeled ‘BALKONG’, beside the large open office ‘302 KONTORSLANDSKAP’. The left-side exterior/courtyard window and the interior glass door into the open office match this connecting passage. The point is placed in that corridor near its upper end, just outside the office entrance.</t>
  </si>
  <si>
    <t>T1.98</t>
  </si>
  <si>
    <t>The query appears to be taken from the narrow internal corridor/transition area along the balcony/atrium edge, looking through glazed doors into the large open office 302 KONTORSLANDSKAP. The exterior-facing/atrium window on the left and the small vestibule-like space match the angled corridor near the BALKONG connection just southwest of room 302.</t>
  </si>
  <si>
    <t>T1.99</t>
  </si>
  <si>
    <t>The photo appears to be taken in the narrow glazed corridor/balcony connection labeled ‘BALKONG’, beside an exterior-facing window into the inner courtyard and looking through a glass door into the open office area 302 KONTORSLANDSKAP. The best camera position is near the northwest end of that diagonal balcony corridor, just outside the open office entrance.</t>
  </si>
  <si>
    <t>T1.100</t>
  </si>
  <si>
    <t>The query appears to be a small enclosed room/vestibule with an exterior window on the left and interior glazed doors opening into a large open office. On the floorplan, this best matches room 307 (SAMTALSRUM) beside 306 PASSAGE and adjacent to the large 302 KONTORSLANDSKAP. The camera is most likely positioned inside room 307 near its exterior window, facing back toward the glazed openings to the open office/passage.</t>
  </si>
  <si>
    <t>T1.101</t>
  </si>
  <si>
    <t>The query appears to be taken from a small enclosed room or vestibule with an exterior window on one side and glazed doors/windows opening into a large open office area. On the plan, the best match is the small angled room at the southwest edge of 302 KONTORSLANDSKAP, adjacent to the marked BALKONG and connected to the open office by doors. The point is placed inside that small room near its outer window wall, matching the camera looking inward toward the open office.</t>
  </si>
  <si>
    <t>T1.102</t>
  </si>
  <si>
    <t>The query appears to be a small enclosed room with an exterior window on the left and interior glazed doors/windows opening into a large open office area. On the floorplan, the best match is room 303 (PENTRY) beside the large 302 KONTORSLANDSKAP, along the exterior facade. The camera is likely near the outer wall/window side of 303, looking inward toward 302.</t>
  </si>
  <si>
    <t>T1.103</t>
  </si>
  <si>
    <t>The query shows a large open office area with many exterior windows, several round columns, and a glazed door in an angled wall. This best matches room 302 KONTORSLANDSKAP. The camera is likely placed near the northwest side of that room, looking southeast across the open space toward the windowed exterior wall and the angled internal wall by the passage/pantry side.</t>
  </si>
  <si>
    <t>T1.104</t>
  </si>
  <si>
    <t>The query shows a large open-plan office with several perimeter windows, round columns, and an angled exterior wall. This best matches room 302 KONTORSLANDSKAP. The camera appears to be inside the northwest part of that room, looking toward the north/northeast window wall and the door area near the core, so the best estimate is a point slightly left of center in the open office.</t>
  </si>
  <si>
    <t>T1.105</t>
  </si>
  <si>
    <t>The query shows a large open office area with many perimeter windows, carpet, and several round columns, which best matches room 302 KONTORSLANDSKAP. The camera appears to be positioned near the left/west side of this open space, looking toward the outer windowed façade and passage side, so the best estimate is a point slightly left of center within room 302.</t>
  </si>
  <si>
    <t>T1.106</t>
  </si>
  <si>
    <t>The query shows a large open office with many exterior windows along a long angled facade, matching room 302 KONTORSLANDSKAP. The view appears to be taken near the right/east window wall, looking inward toward the core/pantry side, so the best camera position is inside the eastern side of room 302.</t>
  </si>
  <si>
    <t>T1.107</t>
  </si>
  <si>
    <t>The query shows a large open office with a long exterior window wall on the right, matching room 302 KONTORSLANDSKAP. The view appears to be taken near the southeast/right-side window line, looking inward toward the lift/pantry side, so the best camera position is along the right edge of room 302 a bit below its center.</t>
  </si>
  <si>
    <t>T1.108</t>
  </si>
  <si>
    <t>The query shows a large open office area with a long exterior window wall on the right, matching room 302 KONTORSLANDSKAP. The view appears to be taken from the southeast side of that room near the angled facade/windows, looking inward toward the lift/pantry side, so the best camera position is near the right edge of room 302.</t>
  </si>
  <si>
    <t>T1.109</t>
  </si>
  <si>
    <t>The query shows a large open office area with many exterior windows along a long angled facade and a few interior columns, which best matches room 302 KONTORSLANDSKAP. The camera appears to be positioned near the west/southwest side of this open space, looking across toward the windowed east/northeast perimeter and the passage area.</t>
  </si>
  <si>
    <t>T1.110</t>
  </si>
  <si>
    <t>The query shows a large open-plan office area with many exterior windows along a long angled facade and a few interior columns. This best matches room 302 (KONTORSLANDSKAP). The camera appears positioned near the west/southwest side of that open space, looking east/northeast across the room toward the windowed perimeter and doors near the central core.</t>
  </si>
  <si>
    <t>T1.111</t>
  </si>
  <si>
    <t>The query shows a large open-plan office with many windows along a long exterior wall and a broad, unobstructed interior. This best matches room 302 ‘KONTORSLANDSKAP’. The view appears to be taken near the southwest/left side of that room, looking across toward the far end and the long windowed outer wall on the east/right side, so the camera position is placed inside the western part of room 302.</t>
  </si>
  <si>
    <t>Column 2</t>
  </si>
  <si>
    <t>Column 4</t>
  </si>
  <si>
    <t>Column 5</t>
  </si>
  <si>
    <t>Notes</t>
  </si>
  <si>
    <t>Column 17</t>
  </si>
  <si>
    <t>Column 18</t>
  </si>
  <si>
    <t>Column 19</t>
  </si>
  <si>
    <t>Column 21</t>
  </si>
  <si>
    <t>Column 1</t>
  </si>
  <si>
    <t>Column 20</t>
  </si>
  <si>
    <t>T2.1</t>
  </si>
  <si>
    <t>The photo shows a kitchenette/pantry with microwaves, sink, fridge, and a sloped exterior wall with windows. On the floorplan, room 505 labeled 'PENTRY' matches this layout and sits beside the larger open office area seen through the doorway. The camera is most likely inside the pantry near its lower-left side, facing toward the doorway and sloped wall.</t>
  </si>
  <si>
    <t>T2.2</t>
  </si>
  <si>
    <t>The photo shows a kitchenette/pantry with sloped ceiling and a doorway into an adjacent office area. On the floorplan, room 505 labeled 'PENTRY' matches this kitchenette and sits next to the open office area 504, consistent with the view through the door. The camera is most likely positioned inside the pantry near its lower-left side, looking toward the doorway.</t>
  </si>
  <si>
    <t>T2.3</t>
  </si>
  <si>
    <t>The photo shows a kitchenette/pantry with cabinets, sink, microwaves, and a sloped roof. On the floorplan, room 505 is labeled PENTRY and sits beside the open office area, matching the visible doorway into offices and the angled exterior wall. The camera is most likely inside room 505 near its open side, facing the kitchenette wall and doorway.</t>
  </si>
  <si>
    <t>T2.4</t>
  </si>
  <si>
    <t>The photo appears to be taken in the open office/kitchen transition area: tiled floor beside carpeted office space, with windows/open desks to the left and a kitchenette/fridge plus a small enclosed room/core area to the right. This best matches the central-right side of room 504 near the pantry/core boundary, just west of the 510/516/517 service cluster.</t>
  </si>
  <si>
    <t>T2.5</t>
  </si>
  <si>
    <t>The photo appears to be taken in the open office/pantry transition area: carpeted open workspace with windows on the left, tiled kitchenette/pantry zone on the right, and a small partition wall between them. This best matches the boundary between room 505 PENTRY and 504 KONTORSLANDSKAP, near the passage toward 503.</t>
  </si>
  <si>
    <t>T2.6</t>
  </si>
  <si>
    <t>The photo appears to be taken in the pantry/open-office transition area: tiled kitchenette floor on the right, carpeted office area with desks and windows on the left, and a small enclosed booth/door ahead. This best matches the boundary between room 505 PENRTY and 504 KONTORSLANDSKAP near the passage connection.</t>
  </si>
  <si>
    <t>T2.7</t>
  </si>
  <si>
    <t>The photo shows a pantry/kitchenette opening into a larger meeting room with a sloped exterior wall and a row of low windows. This matches room 505 PANTRY adjoining 506 MÖTESRUM; the camera is best placed in the pantry near the kitchenette wall, looking into the meeting room and open office to the left.</t>
  </si>
  <si>
    <t>T2.8</t>
  </si>
  <si>
    <t>The photo shows a pantry/kitchenette directly beside a low-sloped windowed meeting area, matching room 505 (PENTRY) opening into 506 (MÖTESRUM). The camera is best placed near the kitchenette side of 505, looking across into the meeting room with the row of low windows.</t>
  </si>
  <si>
    <t>T2.9</t>
  </si>
  <si>
    <t>The photo shows a small pantry/kitchenette directly beside a sloped-roof meeting room with a row of low windows, matching room 505 (PENTRY) opening into 506 (MÖTESRUM). The camera is best placed near the boundary between these spaces, inside the pantry area looking across into the meeting room and open office.</t>
  </si>
  <si>
    <t>T2.10</t>
  </si>
  <si>
    <t>The photo shows a very small office under a sloped roof with two exterior windows meeting at an angled corner, which best matches the narrow corner office 507 at the top-right of the plan. The camera appears positioned inside that room, a bit back from the windows and looking toward the exterior corner.</t>
  </si>
  <si>
    <t>utanför byggnad</t>
  </si>
  <si>
    <t>T2.11</t>
  </si>
  <si>
    <t>The photo shows a small attic-like office with strongly sloped ceilings and two exterior windows meeting at a corner. On the floorplan, the best match is the narrow corner office 507 at the angled façade, where two windowed exterior walls create this geometry. The camera is likely positioned slightly inside that room, looking toward the corner windows.</t>
  </si>
  <si>
    <t>T2.12</t>
  </si>
  <si>
    <t>The query shows a very small attic-like office with a strongly sloped ceiling and two exterior windows meeting at a corner, which best matches the narrow corner office 507 on the angled outer facade. The camera appears to be inside that room near its interior side, aimed toward the exterior corner windows.</t>
  </si>
  <si>
    <t>T2.13</t>
  </si>
  <si>
    <t>The photo appears to be taken inside a small enclosed office with carpet, looking through a single door into the larger open office area that has visible columns. On the floorplan, room 517 (KONTOR) best matches this setup: a small office opening directly into the open office landscape near the columns and circulation area.</t>
  </si>
  <si>
    <t>T2.14</t>
  </si>
  <si>
    <t>The photo appears taken inside a small office looking out through a single doorway into the larger open office area with visible round columns. On the plan, the small enclosed offices along the right side (especially room 517) border the open office landscape and match this setup best. The point is placed inside room 517 near its doorway facing the open area.</t>
  </si>
  <si>
    <t>väldigt annorlunda svar från de tidigare två</t>
  </si>
  <si>
    <t>T2.15</t>
  </si>
  <si>
    <t>The photo appears to be taken inside a small office looking out through a single door into the larger open office area with visible columns. On the plan, the small perimeter offices along the right side (especially room 507) open into the large room 504 and best match this setup. The camera is placed inside that office near the outer wall, facing inward toward the doorway and open office.</t>
  </si>
  <si>
    <t>T2.16</t>
  </si>
  <si>
    <t>The photo appears to be taken inside a small perimeter office with a sloped exterior wall and multiple windows on the right, looking back through the door into the corridor. On the floorplan, room 507 best matches this shape and window placement along the angled façade, so the camera is placed inside 507 near the window side facing the doorway.</t>
  </si>
  <si>
    <t>T2.17</t>
  </si>
  <si>
    <t>The photo appears to be from a small perimeter office with a sloped exterior wall/ceiling, windows along the right side, and a single inward door opening to the corridor. On the floorplan, room 507 best matches this wedge-shaped office at the top-right edge; the camera seems positioned inside that room near the windowed exterior wall, facing back toward the door.</t>
  </si>
  <si>
    <t>T2.18</t>
  </si>
  <si>
    <t>The query shows a small attic-like office with strongly sloped ceiling, exterior windows along the right side, and a door opening toward a corridor. On the plan, the most likely match is one of the narrow perimeter offices on the angled right facade; room 507 best fits the small size, exterior window wall, and doorway into the internal circulation zone. The point is placed inside room 507, slightly in from the window side, representing the camera position facing the door.</t>
  </si>
  <si>
    <t>T2.19</t>
  </si>
  <si>
    <t>The photo shows a small perimeter office with several desks directly along an exterior window wall and a corner-like glazed facade. On the plan, room 508 (Kontor) best matches this size, shape, and long exterior window exposure on the right side of the building. The camera is likely positioned inside that room, a bit back from the windows and looking outward toward the facade.</t>
  </si>
  <si>
    <t>T2.20</t>
  </si>
  <si>
    <t>The query shows a small office with several desks directly against a long exterior window facade and a corner view outside. On the floorplan, the best match is the window-lined office 508 KONTOR along the angled right exterior wall, near its upper corner where two exterior-facing window directions meet.</t>
  </si>
  <si>
    <t>T2.21</t>
  </si>
  <si>
    <t>The photo shows an office with multiple desks directly along an exterior window facade and a corner-like glazed edge. On the floorplan, the best match is the small perimeter office 507 (KONTOR) on the angled northeast facade, which has windows on two exterior sides and fits the compact furnished office appearance. The camera is placed slightly inside that room, looking out toward the windows.</t>
  </si>
  <si>
    <t>T2.22</t>
  </si>
  <si>
    <t>The photo shows an open office/lounge area with tables, many windows along the outer wall, and a freestanding partition with a TV. This best matches room 504 KONTORSLANDSKAP near the slanted balcony edge and adjacent open workspace, with the camera positioned just inside the open area looking toward an internal partition and the windowed perimeter.</t>
  </si>
  <si>
    <t>T2.23</t>
  </si>
  <si>
    <t>The photo shows an open office/lounge area with meeting tables, low windows along the exterior wall, and a central partition with a TV. This best matches room 504 KONTORSLANDSKAP near the balcony edge and windowed side, with the camera positioned slightly left of center in the open area looking toward an internal partition and the exterior windows.</t>
  </si>
  <si>
    <t>T2.24</t>
  </si>
  <si>
    <t>The photo shows an open office/lounge area with meeting tables by a long exterior window wall and a small partition wall carrying a TV. This best matches the large open room 504 (KONTORSLANDSKAP) near the balcony edge, looking toward the windows on the right/northeast side. The camera appears to be inside the open area just southwest of the partition/TV wall.</t>
  </si>
  <si>
    <t>T2.25</t>
  </si>
  <si>
    <t>The query shows a meeting room with a large table, exterior windows along one side, and adjacent glass-partitioned offices/corridor on the other. This best matches room 506 MÖTESRUM at the top-center of the plan, with the camera positioned inside the room near its lower side looking toward the windows and nearby office area.</t>
  </si>
  <si>
    <t>T2.26</t>
  </si>
  <si>
    <t>The query shows a meeting room with a large conference table, windows along one exterior side, and glass-walled offices/corridor on the opposite side. On the floorplan, room 506 (MÖTESRUM) best matches this layout, with the camera likely positioned inside that room near its lower-central area facing toward the glass partitions and adjacent offices.</t>
  </si>
  <si>
    <t>T2.27</t>
  </si>
  <si>
    <t>The query shows a large meeting room with a conference table, windows along the exterior wall on one side, and interior glass offices/corridor on the opposite side. This best matches room 506 MÖTESRUM at the top-center/right of the plan. The camera appears placed inside that room near its lower-left/central area, looking across the room toward the glass-partition side and windows.</t>
  </si>
  <si>
    <t>T2.31</t>
  </si>
  <si>
    <t>The photo shows a small glass-walled meeting room with angled glass partitions opening directly into the large open office by the window façade. On the plan, room 506 (MÖTESRUM) has this distinctive angled shape and sits adjacent to the open office area 504 along the exterior windows, matching the view and geometry. The camera is most likely inside 506 near its lower-right side, looking out through the glass door toward the open office.</t>
  </si>
  <si>
    <t>T2.32</t>
  </si>
  <si>
    <t>The photo appears to be taken inside a small glass-walled meeting room looking out into the large open office by the window façade. On the plan, room 506 (MÖTESRUM) matches this: it is a meeting room opening into the large 504 office landscape, with exterior windows on two angled sides consistent with the view. The camera is likely near the lower-left/inner side of room 506, aimed outward through the glass partition and door.</t>
  </si>
  <si>
    <t>säger att den är i 506 (fel) men placerar inte positionen i 506 ändå</t>
  </si>
  <si>
    <t>T2.33</t>
  </si>
  <si>
    <t>The photo appears to be taken inside the small glazed meeting room 506 (MÖTESRUM), looking out through its glass partitions into the adjacent open office area 504. The angular glass walls and nearby open office with exterior windows match the top-central meeting room position, so the camera is best placed slightly inside room 506 near its southeast glass edge.</t>
  </si>
  <si>
    <t>T2.34</t>
  </si>
  <si>
    <t>The photo appears to be taken inside a small glass-walled meeting room along the exterior facade: there is a conference table, chairs, full-height glazing to an adjacent open office, and windows directly to the outside. On the floorplan, room 506 (MÖTESRUM) best matches this setup, positioned on the outer windowed edge and adjacent to the open office area. The camera seems placed near the inner side of that room, looking along the glass partition toward the open office.</t>
  </si>
  <si>
    <t>T2.35</t>
  </si>
  <si>
    <t>The photo appears to be taken inside the meeting room labeled 506 MÖTESRUM: it has a conference table and chairs, exterior windows along one side, and a glass wall looking into the open office area with desks on the other side. The camera seems positioned near the inner-left side of that room, facing along the windowed wall toward the glass partition.</t>
  </si>
  <si>
    <t>T2.36</t>
  </si>
  <si>
    <t>The photo appears to be taken inside the large meeting room 506 MÖTESRUM: it has a conference table/chairs, exterior windows along one side, and a glass partition looking into the open office area (504) on the other side. The camera seems positioned near the left/west end of room 506, close to the window wall and facing along the glass wall toward the office.</t>
  </si>
  <si>
    <t>T2.37</t>
  </si>
  <si>
    <t>The photo shows a small glass-walled meeting room with an oval table directly adjacent to a larger open office area and perimeter windows. On the floorplan, room 506 (MÖTESRUM) matches this layout: a meeting room along the outer windowed facade, next to the open office area 504 through angled glass partitions. The estimated camera position is inside 506 near its right/east side, looking across the glass toward the open office.</t>
  </si>
  <si>
    <t>T2.38</t>
  </si>
  <si>
    <t>The query shows a small glass-walled meeting room with an oval table directly adjacent to a large open office area and along an exterior window facade. On the floorplan, room 506 (MÖTESRUM) matches this: it is a meeting room on the outer windowed edge, next to the open office area 504 and separated by angled glass walls near the central core. The point is placed inside 506 near its glass boundary toward the open office.</t>
  </si>
  <si>
    <t>T2.39</t>
  </si>
  <si>
    <t>The photo appears to be taken inside a small glass-walled meeting room with a curved/angled glass partition, directly adjacent to the open office area and perimeter windows. On the floorplan, room 506 (MÖTESRUM) best matches this enclosed meeting room at the top-center, next to the open office/atrium side, so the camera is placed inside that room near its inner side facing outward.</t>
  </si>
  <si>
    <t>T2.40</t>
  </si>
  <si>
    <t>The photo shows a very small enclosed technical/storage-like room with double doors ahead and another door to the side, matching the compact room 501 TEKNIKRUM next to the stair/hiss core. The camera appears to be inside that room facing the wall/doors near its upper-left side.</t>
  </si>
  <si>
    <t>förklarar rätt plats men positioner helt fel</t>
  </si>
  <si>
    <t>T2.41</t>
  </si>
  <si>
    <t>The photo shows a very small vestibule/storage-like room with double doors ahead and a side door labeled “RWC,” which matches the tiny room 516 ELC next to room 515 RWC in the lower-right service core. The camera is likely standing inside 516 looking toward its double-door wall.</t>
  </si>
  <si>
    <t>T2.42</t>
  </si>
  <si>
    <t>The photo appears to be taken inside a very small vestibule/storage-like room with double doors ahead and a side door labeled 'RWC', which matches the compact restroom-related area around room 515 (RWC) and the adjacent small lobby/corridor near rooms 514–516. The camera is likely positioned just inside that small nook, facing inward toward the doors.</t>
  </si>
  <si>
    <t>T2.43</t>
  </si>
  <si>
    <t>The photo shows a small corridor with two doors labeled WC and a round column, which best matches the narrow toilet/stair area near rooms 512 WC and 513 TRAPPHUS on the right side of the plan. The camera is likely in the passage just west of the WC doors, looking inward along that short corridor.</t>
  </si>
  <si>
    <t>T2.44</t>
  </si>
  <si>
    <t>The photo shows a small corridor with two doors labeled WC and a nearby round column, which best matches the toilet/service area beside rooms 512 WC / 514 ST / 515 RWC near the right side of the plan. The camera is most likely standing in the short passage just west of 512 WC, looking into the curved hall with the column.</t>
  </si>
  <si>
    <t>T2.45</t>
  </si>
  <si>
    <t>T2.46</t>
  </si>
  <si>
    <t>The photo shows an interior corridor/passage with several office doors on one side, a visible bend/opening down the hall, and nearby furnishings/signage. This best matches the corridor area around room 510 PASSAGE next to offices 507–509 and the stair/service core, where multiple doors line the passage and the hall opens toward the larger office area.</t>
  </si>
  <si>
    <t>T2.47</t>
  </si>
  <si>
    <t>The photo shows an interior corridor with multiple office doors, a nearby column, and what looks like a small seating/waiting area by a wall. On the plan, the best match is the office/passage zone around rooms 510/516/517 next to the stair and WC core, where a narrow corridor with several doors opens into a small passage/lounge-like area.</t>
  </si>
  <si>
    <t>T2.48</t>
  </si>
  <si>
    <t>The photo shows an interior corridor/open office edge with several office doors on one side, a column in the passage, and what looks like seating near the camera. This best matches the open area around room 504 (KONTORSLANDSKAP) along the passage by rooms 507–510, near the corridor leading toward 516/517 where columns and door-lined walls are present.</t>
  </si>
  <si>
    <t>T2.49</t>
  </si>
  <si>
    <t>The photo is taken inside a small restroom/vanity area with a sink and mirror, looking out through a door into the corridor. On the floorplan, the best match is the small WC/RWC cluster near rooms 514–516, specifically the restroom opening toward the passage by stair 513. The point is placed inside that restroom near the sink wall.</t>
  </si>
  <si>
    <t>T2.50</t>
  </si>
  <si>
    <t>The query shows a small washroom with a sink/mirror and a door opening to carpeted corridor space. On the floorplan, the best match is the WC/RWC cluster near rooms 514–516, especially the small restroom adjacent to corridor 510/515. The camera appears just inside that restroom near the sink wall, looking out toward the corridor.</t>
  </si>
  <si>
    <t>T2.51</t>
  </si>
  <si>
    <t>The photo is taken inside a small restroom/vanity area with a sink, mirror, and door opening into the corridor. On the floorplan, the best match is the small WC/RWC cluster near rooms 514–516; this point is placed inside the restroom area just by the doorway where a sink/mirror would face toward the hall.</t>
  </si>
  <si>
    <t>T2.52</t>
  </si>
  <si>
    <t>The query image appears to be inside a restroom: visible soap/towel dispenser and the curved top of a urinal/toilet against tiled painted walls. On the floorplan, the best restroom match is room 515 RWC near the lower-right cluster. The point is placed near an interior corner of that room where such fixtures would likely be mounted.</t>
  </si>
  <si>
    <t>T2.53</t>
  </si>
  <si>
    <t>The query photo appears to be inside a restroom: visible paper dispenser and restroom fixture, photographed from a tight interior corner. On the floorplan, the small restroom labeled 515 RWC best matches this kind of compact interior corner better than the larger WC 512. The estimated camera position is placed near a corner inside room 515.</t>
  </si>
  <si>
    <t>T2.54</t>
  </si>
  <si>
    <t>The query image appears to be inside a small restroom: visible soap/towel dispenser and the top of a urinal, photographed from a corner. On the floorplan, the best match is room 515 (RWC) next to the stairwell and WC core, rather than the larger office rooms. The point is placed near a corner position within that restroom where a camera could face the wall corner and fixtures.</t>
  </si>
  <si>
    <t>T2.55</t>
  </si>
  <si>
    <t>The photo appears to be taken inside a small restroom/utility wash area: visible sink, soap dispenser, paper/towel bin, and a door opening to a curved corridor outside. On the floorplan, the best match is the small restroom cluster around room 515 (RWC) adjacent to 514 ST and the corridor 510 PASSAGE, which matches a compact washroom opening into the nearby passage. The point is placed inside room 515 near the sink-side wall.</t>
  </si>
  <si>
    <t>T2.56</t>
  </si>
  <si>
    <t>The photo appears to be taken inside a small restroom/wash area: visible sink, mirror, soap dispenser, tiled floor, and an inward view to a curved corridor outside. On the floorplan, the best match is the restroom cluster around room 515 (RWC), adjacent to 514 ST and the small passage/landing near 516 ELC and 513 TRAPPHUS. The camera is most likely just inside the RWC wash area facing outward toward the curved hall.</t>
  </si>
  <si>
    <t>T2.57</t>
  </si>
  <si>
    <t>The photo appears to be taken inside a small restroom/handwash area: visible sink, mirror, soap dispenser and a doorway opening to a curved corridor outside. On the floorplan, the best match is the RWC/WC cluster near rooms 515/516, where a small washroom opens into the passage by the stair core. The estimated camera position is inside that restroom near the sink, facing out toward the curved passage.</t>
  </si>
  <si>
    <t>T2.58</t>
  </si>
  <si>
    <t>The photo shows a small perimeter office with strong sunlight from exterior windows on the left, a door opening into a larger workspace/pantry-like area, and a second internal door. On the plan, the row of small offices along the bottom edge matches this layout best; this point is placed inside one of those offices near its interior side, facing toward the corridor/open workspace.</t>
  </si>
  <si>
    <t>T2.59</t>
  </si>
  <si>
    <t>The photo shows a small perimeter office with strong sunlight from exterior windows on the left, a glass door opening to a brighter corridor/open office area, and a solid internal door on the adjacent wall. This best matches one of the cellular offices along the lower facade, with the camera placed inside an office near its outer window wall looking back toward the corridor; the chosen point is in the left-middle office of that bottom row.</t>
  </si>
  <si>
    <t>T2.60</t>
  </si>
  <si>
    <t>The photo appears to be taken inside a small perimeter office with strong daylight from exterior windows on the left, looking toward a door opening into a larger shared workspace/pantry-like area. On the floorplan, the row of small south-facing offices along the bottom edge matches this setup; this point is placed in one of those offices near its center, just inside the door side, consistent with the observed room proportions and sunlight.</t>
  </si>
  <si>
    <t>T2.61</t>
  </si>
  <si>
    <t>The photo shows a small perimeter office with large exterior windows on the left and a door opening into an interior corridor/pantry-like area. On the floorplan, the row of small offices along the south facade best matches this layout; this point is placed inside one of those offices near the exterior window wall and facing inward toward the door.</t>
  </si>
  <si>
    <t>T2.62</t>
  </si>
  <si>
    <t>The photo shows a small perimeter office with a full-height exterior window wall on the left, a narrow side window, and a door opening into the larger office area with visible kitchenette/cabinetry beyond. On the floorplan, the small room just west of the pantry/hiss/trapphus cluster along the exterior facade best matches this layout, placing the camera near the window side of that room looking inward toward the door.</t>
  </si>
  <si>
    <t>T2.63</t>
  </si>
  <si>
    <t>The photo shows a bright perimeter office with large exterior windows along one side and a door opening into a corridor/pantry-like interior space. On the floorplan, the small room labeled 303 PENTRY on the north/east facade matches this layout best: it has exterior windows and connects directly to the hall/core area. The point is placed inside that room near the window side.</t>
  </si>
  <si>
    <t>T2.64</t>
  </si>
  <si>
    <t>The query shows a small perimeter office with two exterior windows on adjacent walls, bright daylight, and a single door opening into a larger workspace/pantry area. On the plan, the small offices along the bottom edge have this layout; the room just left of the central elevator core best matches a corner office with one window on the south facade and another on the angled west facade, with the door opening inward to the corridor/open office side.</t>
  </si>
  <si>
    <t>T2.65</t>
  </si>
  <si>
    <t>The photo shows a small perimeter office with two exterior windows meeting at a corner and a door opening into an interior corridor/room. On the floorplan, the best match is one of the small offices along the south facade near the southeast side, where rooms have exterior windows on the bottom edge and internal doors to the corridor. I placed the dot inside that office near the window corner.</t>
  </si>
  <si>
    <t>T2.66</t>
  </si>
  <si>
    <t>The photo shows a small perimeter office with two exterior windows on adjacent walls and an internal door opening toward a larger room/pantry area. On the floorplan, the small room just left of the central vertical corridor and above the long row of offices best matches this layout and window exposure, so the camera is placed near the window-side corner of that room.</t>
  </si>
  <si>
    <t>T2.67</t>
  </si>
  <si>
    <t>The photo shows a large open office room with a long run of exterior windows on the left, plus several interior doors and a corridor/core connection ahead-right. This best matches room 302 (KONTORSLANDSKAP), likely from the left side of the open space looking toward the internal doors near the passage/stair core.</t>
  </si>
  <si>
    <t>T2.68</t>
  </si>
  <si>
    <t>The photo shows a large open office room with a long exterior window wall on the left and a small cluster of interior doors/openings on the far wall, matching the big open space labeled 302 KONTORSLANDSKAP. The camera appears to be positioned inside that room, somewhat toward its lower-left/central area, looking toward the interior partition and doors near the passage.</t>
  </si>
  <si>
    <t>T2.69</t>
  </si>
  <si>
    <t>The photo shows a large open office room with a long exterior window wall on the left, and on the opposite side a small recessed corridor plus two doors, which best matches room 302 (Kontorslandskap). The camera appears to be inside that open space, positioned a bit left of center and looking toward the interior wall by the passage/stair core.</t>
  </si>
  <si>
    <t>T2.70</t>
  </si>
  <si>
    <t>The photo shows a large open carpeted office with round structural columns, exterior windows on the left, and a nearby glass exit door plus small enclosed rooms to the right. This best matches the open area 302 (KONTORSLANDSKAP) near the diagonal wall and adjacent passage/service rooms around 306–312, with the camera positioned slightly inside the open space facing toward those doors.</t>
  </si>
  <si>
    <t>T2.71</t>
  </si>
  <si>
    <t>The photo shows a large open office area with carpet, exterior windows on the left, two round columns, and a glazed exit door near an internal wall. This best matches the open room 302 (Kontorslandskap), near its left/west side where columns are marked, looking toward the small rooms and passage on the right.</t>
  </si>
  <si>
    <t>T2.72</t>
  </si>
  <si>
    <t>The photo shows a large open office area with multiple round columns, exterior windows on the left, and a glazed door/fire extinguisher against an interior wall. This best matches the open room 302 (KONTORSLANDSKAP), near its left-central side by the two circular columns, looking toward the small enclosed rooms and passage on the right.</t>
  </si>
  <si>
    <t>T2.73</t>
  </si>
  <si>
    <t>The query shows a large open office with many perimeter windows, a small pantry/island, and several round columns. On the floorplan, the best match is the big open room 302 (KONTORSLANDSKAP), especially near its central column area and adjacent pantry 303, with the camera positioned slightly left of center facing the windowed outer wall.</t>
  </si>
  <si>
    <t>T2.74</t>
  </si>
  <si>
    <t>The photo shows a large open office with many exterior windows along a long angled facade, a kitchenette/pantry area, several round columns, and a dark door/core connection. This best matches the big open room 302 KONTORSLANDSKAP next to 303 PENTRY, with the camera likely placed near the central columns looking toward the windowed exterior wall and pantry/core side.</t>
  </si>
  <si>
    <t>T2.75</t>
  </si>
  <si>
    <t>The query shows a large open office with many perimeter windows, a kitchenette/pantry area, and a prominent interior column. This best matches the big open room labeled 302 KONTORSLANDSKAP next to 303 PENTRY; the camera is likely positioned a bit left of center within that open space, looking toward the windowed exterior wall and pantry.</t>
  </si>
  <si>
    <t>T2.76</t>
  </si>
  <si>
    <t>The query shows a covered exterior balcony/walkway with windows on one side and an open edge/parapet on the other. On the floorplan, the diagonal area labeled ‘BALKONG’ next to room 302 best matches this geometry. The camera is most likely positioned along this balcony near its upper-central section, looking down the length toward the southeast.</t>
  </si>
  <si>
    <t>T2.77</t>
  </si>
  <si>
    <t>The photo appears to be taken on the balcony/walkway labeled ‘BALKONG’ outside the large room 302, looking along the windowed facade toward the southeast end. The camera is most likely positioned on that slanted exterior corridor near its middle-right section.</t>
  </si>
  <si>
    <t>T2.78</t>
  </si>
  <si>
    <t>The photo appears to be taken on the balcony/walkway labeled ‘BALKONG’ outside the large office area 302, facing along the windowed facade toward the southeast corner. The narrow exterior passage with windows and a door matches this diagonal balcony segment, so the camera is best placed roughly midway along that balcony line.</t>
  </si>
  <si>
    <t>T2.79</t>
  </si>
  <si>
    <t>The photo appears to be taken from the balcony/walkway outside a glazed door looking into the large open office area. On the plan, the diagonal area labeled ‘BALKONG’ along the edge of room 302 matches this exterior corridor, so the camera is best placed on that balcony near the door into 302.</t>
  </si>
  <si>
    <t>T2.80</t>
  </si>
  <si>
    <t>The photo appears to be taken on the small exterior balcony/corridor next to a glazed door leading into the open office area. On the plan, the narrow triangular BALKONG space connects directly to room 302 KONTORSLANDSKAP via a door, matching the railing and exterior facade view. The estimated camera position is on that balcony, close to the door into 302.</t>
  </si>
  <si>
    <t>T2.81</t>
  </si>
  <si>
    <t>The photo appears to be taken on the balcony/walkway outside the office area, next to a glazed railing and an exterior door into the large open room. On the floorplan, the best match is along the diagonal BALKONG corridor at the door connecting into room 302 KONTORSLANDSKAP, near its upper-middle section.</t>
  </si>
  <si>
    <t>T2.82</t>
  </si>
  <si>
    <t>The query shows an exterior balcony/walkway alongside a long glazed facade with a door into the building, matching the angled area labeled BALKONG next to room 302. The camera appears to be on that balcony near the door opening from the large office area, roughly at the inner end of the balcony corridor.</t>
  </si>
  <si>
    <t>T2.83</t>
  </si>
  <si>
    <t>The query shows an exterior balcony/walkway along the inner courtyard with a railing, adjacent windows, and a door into the building. On the floorplan, the clearly labeled diagonal BALKONG connects near room 312/306 and matches this narrow exterior passage. The camera is most likely positioned on that balcony roughly mid-span, facing along it toward the right.</t>
  </si>
  <si>
    <t>T2.84</t>
  </si>
  <si>
    <t>The query shows an exterior balcony/walkway with railing, a door into the building, and windows along the facade. On the floorplan, the long diagonal space labeled ‘BALKONG’ matches this exterior corridor. The camera appears to be on that balcony near the door connection to the interior by room 302/306, so the best estimate is along the balcony just southeast of the stair/core connection.</t>
  </si>
  <si>
    <t>läser elc som elevator</t>
  </si>
  <si>
    <t>T2.85</t>
  </si>
  <si>
    <t>The photo shows a small elevator lobby with a single lift and a glazed door opening into a brighter room. On the plan, the clearest matching spot is the elevator area labeled 311 ELC beside room 312 MÖTESRUM and the passage 306/307 cluster. The camera is most likely standing just outside the elevator, in the small lobby immediately west/northwest of the elevator shaft, facing toward the glazed door into the adjacent space.</t>
  </si>
  <si>
    <t>T2.86</t>
  </si>
  <si>
    <t>The photo shows a small elevator lobby with a single lift and a glass door opening into a brighter room. On the floorplan, the clearest matching spot is the elevator labeled 311 ELC next to room 312 MÖTESRUM and the passage 306/307 cluster on the right side. The camera is most likely standing just west of the elevator, facing toward the glass door into 312.</t>
  </si>
  <si>
    <t>T2.87</t>
  </si>
  <si>
    <t>The photo shows a small elevator lobby with a single elevator and a glass door immediately beside it opening toward a brighter room. On the floorplan, the clearest match is the elevator labeled 311 ELC next to room 312 MÖTESRUM and the adjacent passage/small lobby area near rooms 309–310. The camera appears to be standing in that small lobby facing the elevator and glass door.</t>
  </si>
  <si>
    <t>T2.88</t>
  </si>
  <si>
    <t>The query shows an interior stairwell with a landing, curved handrails, and a tall exterior window. On the floorplan, the best match is the main stair core labeled 300 TRAPPHUS near the center-right; the camera appears to be on the stair flight/landing just inside that stairwell.</t>
  </si>
  <si>
    <t>T2.89</t>
  </si>
  <si>
    <t>The query image shows an enclosed stairwell with a turning stair, window, and handrails on both sides. On the floorplan, the clearest matching feature is the main stair core labeled 300 TRAPPHUS near the center-right; the point is placed on the stair run/landing where a camera would plausibly stand while looking upward.</t>
  </si>
  <si>
    <t>T2.90</t>
  </si>
  <si>
    <t>The photo shows an enclosed stairwell with a half-landing, window, and curved handrails. On the floorplan, the most matching location is the main stair core labeled 300 TRAPPHUS near the center-right, specifically on the stair run/landing area where the camera would be standing and looking upward.</t>
  </si>
  <si>
    <t>T2.91</t>
  </si>
  <si>
    <t>The query shows a small stair/elevator lobby: elevator immediately beside the stairs, with a door opening toward a corridor/open room. On the floorplan, the clearest match is the elevator core labeled 311 ELC next to the stair/lobby area by 312 MÖTESRUM and the adjacent staircase. The camera is most likely positioned in that small lobby just west of the elevator and staircase.</t>
  </si>
  <si>
    <t>T2.92</t>
  </si>
  <si>
    <t>The query shows a stair landing with an elevator directly beside it and a nearby door to a corridor/open area. On the floorplan, the clearest match is the elevator/stair core labeled around 311 ELC next to the stairs and meeting room 312 in the right-center/lower-right area. The point is placed on the small landing space between the elevator and stairs where the camera most likely stood.</t>
  </si>
  <si>
    <t>T2.93</t>
  </si>
  <si>
    <t xml:space="preserve"> The query shows a stair landing immediately beside an elevator, which matches the small elevator-and-stair core near rooms 309–312 on the right side of the plan. The camera appears to be standing on the landing just west of the elevator, looking toward a door and the stairs.</t>
  </si>
  <si>
    <t>T2.94</t>
  </si>
  <si>
    <t>The photo shows a small enclosed office/exam-type room with one door to a corridor, dark carpet, a floor box, and wall-mounted utility/medical ducting. On the plan, the row of small similarly sized rooms along the lower middle-right corridor best matches this layout. I placed the camera inside one of these small rooms, slightly back from the corridor-side door and facing into the room corner.</t>
  </si>
  <si>
    <t>T2.95</t>
  </si>
  <si>
    <t>The query shows a small enclosed office/clinic-style room with carpet, a floor box, many wall outlets, a door to a corridor, and a medical ventilation stand. This best matches one of the small repeated rooms along the lower corridor; I chose a room in the lower central row near the corridor, with the camera positioned inside near the room center facing toward the door and wall.</t>
  </si>
  <si>
    <t>T2.96</t>
  </si>
  <si>
    <t>The query shows a small enclosed office/clinic-type room with carpet, a single inward-swing door to an internal corridor, exterior window visible through that door, and wall-mounted medical/utility ducting. On the plan, the row of small rooms along the lower-right corridor best matches this kind of room; this point is placed inside one of those small rooms near the corridor side.</t>
  </si>
  <si>
    <t>T2.97</t>
  </si>
  <si>
    <t>The photo appears to be taken from a small side corridor or alcove with an exterior window on the left looking into an inner courtyard/balcony, and glass doors opening into a large open office. On the plan, the narrow passage/balcony connection beside room 302 KONTORSLANDSKAP best matches this layout, near the diagonal ‘BALKONG’ edge and just west of the small rooms by 306/312.</t>
  </si>
  <si>
    <t>mkt närmare än tidigare test på samma parameters</t>
  </si>
  <si>
    <t>T2.98</t>
  </si>
  <si>
    <t>The photo appears to be taken from a small corridor or passage beside the large open office (302 KONTORSLANDSKAP), with a window to an internal courtyard/balcony on the left and glazed doors looking into the open office on the right. This matches the narrow passage area around room 306 near the diagonal balcony edge and the entrance into the open office.</t>
  </si>
  <si>
    <t>T2.99</t>
  </si>
  <si>
    <t>The photo appears to be taken in the narrow corridor along the inner courtyard facade, beside exterior windows and looking through glazed doors into the large open office space. This matches the passage/windowed corridor just west of rooms 306/307 and adjacent to the large room 302.</t>
  </si>
  <si>
    <t>T2.100</t>
  </si>
  <si>
    <t>The photo appears to be taken from a small perimeter room with an exterior window on the left and glass partitions/door looking into a large open office. On the plan, room 303 (Pantry) sits between the facade and the large open area 302, matching this layout best.</t>
  </si>
  <si>
    <t>T2.101</t>
  </si>
  <si>
    <t>The photo appears to be taken inside a small room with an exterior window on the left and glass doors/openings looking into a larger open office area. On the floorplan, room 307 near the east side matches this setup: it is a small room on the facade with windows and opens toward the large open workspace 302 via the passage area. The point is placed inside that small room near its interior side.</t>
  </si>
  <si>
    <t>T2.102</t>
  </si>
  <si>
    <t>The photo appears to be taken inside a small room along the southeast corridor, with a window to the exterior on the left and glazed doors/openings looking into a larger office area. This best matches room 312 near the balcony/office interface, positioned close to its west/exterior window wall and facing inward toward the adjacent larger space.</t>
  </si>
  <si>
    <t>T2.103</t>
  </si>
  <si>
    <t>The photo shows a large open office area with multiple facade windows, several interior columns, and an angled exterior wall. This best matches room 302 (KONTORSLANDSKAP). The camera appears to be placed near the left/west side of that open space, looking across toward the windowed north facade and the open interior, so I chose a point slightly left of center within room 302.</t>
  </si>
  <si>
    <t>T2.104</t>
  </si>
  <si>
    <t>The photo shows a large open office with many exterior windows, several round columns, and a door near the window wall. This best matches room 302 (KONTORSLANDSKAP), and the viewpoint appears to be inside the open area near its left/central side looking toward the outer window façade.</t>
  </si>
  <si>
    <t>T2.105</t>
  </si>
  <si>
    <t>The photo shows a large open office area with many exterior windows, multiple round columns, and an angled glazed edge. This best matches room 302 (KONTORSLANDSKAP). The camera appears to be positioned in the left-central part of that open space, looking toward the windowed perimeter and internal corner near the passage side.</t>
  </si>
  <si>
    <t>T2.106</t>
  </si>
  <si>
    <t>The photo shows a large open office area with a long row of exterior windows on the right and at the far end, matching the big perimeter windowed room labeled 302 KONTORSLANDSKAP. The view appears to be taken from inside that open space near its right-hand window wall, looking diagonally toward the interior/core, so the best camera position is in the eastern side of room 302.</t>
  </si>
  <si>
    <t>T2.107</t>
  </si>
  <si>
    <t>The photo shows a large open office area with a long row of exterior windows on the right and additional windows ahead, matching the big open room 302 (KONTORSLANDSKAP) along the angled facade. The view appears to be taken from inside that room near the southeast/right-side window wall, looking diagonally toward the interior core and windows on the far wall.</t>
  </si>
  <si>
    <t>T2.108</t>
  </si>
  <si>
    <t>The photo shows a large open office area with a long exterior window wall on the right, strong sunlight, a column in the space, and a door/core element deeper to the left. This best matches the big open room labeled 302 KONTORSLANDSKAP. The camera is most likely positioned near the right-hand window side of that room, looking diagonally inward toward the core.</t>
  </si>
  <si>
    <t>T2.109</t>
  </si>
  <si>
    <t>The query shows a large open office area with many windows along the right exterior wall, matching room 302 (KONTORSLANDSKAP). The camera appears positioned near the left/west side of this open space, looking diagonally across toward the windowed facade and far end, so the best estimate is inside room 302 near its left-central edge.</t>
  </si>
  <si>
    <t>T2.110</t>
  </si>
  <si>
    <t>The query shows a large open office space with many windows along the right exterior wall, matching room 302 (Kontorslandskap). The angled exterior façade and open area with columns suggest a position inside the middle-left part of this room, looking toward the far end and windowed wall.</t>
  </si>
  <si>
    <t>T2.111</t>
  </si>
  <si>
    <t>The query shows a large open office with a long exterior window wall on the right and another angled window wall ahead, matching the big irregular room 302 (KONTORSLANDSKAP). The camera appears to be near the left interior side of that room, looking across toward the far end and along the right-side windows.</t>
  </si>
  <si>
    <t>T3.1</t>
  </si>
  <si>
    <t>The photo clearly matches room 505 (PENTRY): visible kitchenette with fridge, microwaves, sink, and coffee area. The sloped ceiling and door opening into the adjacent office area fit the pantry’s position next to the larger open office. The camera is likely standing inside the pantry near its open side toward the office, facing the kitchenette wall and doorway.</t>
  </si>
  <si>
    <t>T3.2</t>
  </si>
  <si>
    <t>The photo is most consistent with room 505 (PENTRY): it shows a kitchenette with fridge, microwaves, sink and coffee area, and a doorway opening into the adjacent open office area. The sloped ceiling/wall matches the outer roof edge of the pantry. The camera appears to be standing inside the pantry near its open side toward the office, aimed toward the kitchenette wall and doorway, so the best estimate is near the center-lower part of room 505.</t>
  </si>
  <si>
    <t>T3.3</t>
  </si>
  <si>
    <t xml:space="preserve">The photo most closely matches room 505 (PANTRY): it contains a kitchenette with fridge, microwaves, sink, and coffee area, and the sloped ceiling/wall fits the roof-edge geometry of that room. The open doorway appears to look out toward the adjacent office area, so the camera is likely positioned inside the pantry near its outer/right side, facing the kitchenette wall and door.
</t>
  </si>
  <si>
    <t>T3.4</t>
  </si>
  <si>
    <t>The photo matches the pantry/open-office transition at room 505 opening into the large office landscape 504. Visible cues are the kitchenette/fridge on the right, tiled pantry flooring, the open desk area with façade windows to the left, and a narrow partition between them. The camera is most likely standing in the tiled pantry edge just inside 505, looking left toward 504 and slightly toward the façade.</t>
  </si>
  <si>
    <t>T3.5</t>
  </si>
  <si>
    <t>The photo matches the pantry/open office edge around room 505 opening into 504 Kontorslandskap: visible kitchenette/fridge on the right, open office with windows on the left, and a small tiled passage between them. The camera is most likely standing in the tiled pantry threshold just east of the open office opening, facing toward the windows and exit niche.</t>
  </si>
  <si>
    <t>T3.6</t>
  </si>
  <si>
    <t>The photo matches the pantry/open office junction around room 505/504: tiled kitchenette floor on the right, open office with desks and facade windows on the left, and a small enclosed booth/door straight ahead. The camera is most likely standing in the pantry area just inside the transition to the open office, facing toward the windows and booth.</t>
  </si>
  <si>
    <t>T3.7</t>
  </si>
  <si>
    <t>The photo matches room 505 PENTRY: it shows a kitchenette, dining table, and a sloped exterior wall with a row of low windows, which fits the pantry on the angled top edge of the plan. The camera appears to be inside the pantry near its inner side, looking across the kitchenette toward the windows and back toward the open office entrance, so the best position is near the lower-left/inner portion of room 505.</t>
  </si>
  <si>
    <t>T3.8</t>
  </si>
  <si>
    <t>The photo best matches room 505 (PANTRY): it clearly shows a kitchenette and a sloped ceiling with a row of low windows, which aligns with the pantry along the outer roof edge. The open office area is visible to the left through the opening, so the camera is placed inside the pantry near its inner side, looking outward toward the windows and back toward the office connection.</t>
  </si>
  <si>
    <t>T3.9</t>
  </si>
  <si>
    <t>The photo matches the pantry/meeting area at the top-center of the plan: a kitchenette next to a sloped-roof room with a row of low windows, opening left into the larger office landscape. The camera appears to be inside room 505 (PANTRY), near its lower-right side, facing the kitchenette and the adjacent meeting/open-office area.</t>
  </si>
  <si>
    <t>T3.10</t>
  </si>
  <si>
    <t>The photo shows a very small attic-style office with a strongly sloped ceiling and two exterior windows meeting at a corner, which best matches room 507 at the angled outer facade. The camera appears to be standing just inside the room near the doorway/inner side, looking outward toward the corner windows, so the position is placed slightly inside room 507 away from the facade.</t>
  </si>
  <si>
    <t>T3.11</t>
  </si>
  <si>
    <t>The photo shows a very small wedge-shaped office under a sloped roof with two exterior windows meeting at an angled corner. On the plan, room 507 is the best match: it is a compact corner office at the roof edge with two windowed exterior walls and an irregular triangular shape. The camera appears to be standing just inside the entrance side of that room, looking toward the window corner, so the position is placed near the inner/left side of room 507 rather than at the window wall.</t>
  </si>
  <si>
    <t>T3.12</t>
  </si>
  <si>
    <t>The photo shows a very small perimeter office under a sloped roof with two windows on adjacent exterior walls, matching the corner attic-like office 507. The camera appears to be standing just inside the room near the door/open side, looking toward the two exterior windows at the corner, so the best estimate is near the inner side of room 507.</t>
  </si>
  <si>
    <t>T3.13</t>
  </si>
  <si>
    <t>The photo appears to be taken inside a small office looking out through a single door into the larger open office area (504 Kontorslandskap). The visible structural column just outside the door and the small enclosed room geometry best match office 507 along the angled exterior wall. The camera is positioned inside that room near the back-left side, facing the doorway toward the open area.</t>
  </si>
  <si>
    <t>T3.14</t>
  </si>
  <si>
    <t>The photo appears to be taken inside a small office room looking out through a single door into the larger open office area (504), where a distinctive round structural column is visible. On the plan, room 507 is the best match: it is a small room directly connected to the open office and positioned so a column in 504 would be visible through its door. The camera is likely near the back-right side of room 507, aimed toward the doorway.</t>
  </si>
  <si>
    <t>T3.15</t>
  </si>
  <si>
    <t>The photo appears to be taken inside a small office room looking out through its single door into the open office area (504), where a round column is visible just outside. The most likely match is office 507 on the upper-right side: it is a compact room with one door opening directly into 504, and its shape fits a small enclosed office. The camera seems positioned near the back-right side of that room, facing the doorway toward the open area.</t>
  </si>
  <si>
    <t>T3.16</t>
  </si>
  <si>
    <t>The photo matches a small perimeter office with a sloped exterior wall and a row of windows on the right, looking back through a single door into the corridor. On the plan, room 507 best fits this shape and window arrangement at the top-right edge. The camera is likely inside 507 near the windowed exterior side, aimed toward the door back to the hall.</t>
  </si>
  <si>
    <t>T3.17</t>
  </si>
  <si>
    <t>The photo appears to be taken inside a small perimeter office with a sloped exterior wall and a row of windows on the right, looking inward through the office door into the corridor/passage. On the plan, the small office 507 matches this shape and window placement best. The camera is likely positioned near the outer window side of room 507, facing back toward its doorway to the passage.</t>
  </si>
  <si>
    <t>T3.18</t>
  </si>
  <si>
    <t>The query shows a small perimeter office under a sloped roof with a long exterior window wall on the right and a single inward door opening toward an interior corridor. This best matches office 507 at the top-right angled facade; the camera appears positioned inside that room near the window side, looking back toward the door to the corridor.</t>
  </si>
  <si>
    <t>T3.19</t>
  </si>
  <si>
    <t>The photo shows a small perimeter office with several desks directly against a faceted exterior window wall, matching one of the angular offices on the northeast side rather than the large open office area. The best fit is room 507, which has the distinctive angled outer facade and size for a multi-desk office. The camera appears placed inside the room near the interior side, looking outward toward the windows, roughly centered but slightly toward the left/interior edge of 507.</t>
  </si>
  <si>
    <t>T3.20</t>
  </si>
  <si>
    <t>The photo shows a small perimeter office with several desks directly against a faceted exterior window wall and strong daylight/outdoor roof views. On the plan, the best match is office 507 at the upper-right edge: it is a compact corner office with angled exterior glazing, unlike the larger open office 504 or the more rectangular offices below. The camera appears positioned inside 507 near the interior side of the room, looking outward toward the windows, so the estimated camera point is slightly back from the window line near the room’s center-left interior.</t>
  </si>
  <si>
    <t>T3.21</t>
  </si>
  <si>
    <t>The photo shows a small office with desks directly against an exterior window wall and views over the roof, matching one of the perimeter offices on the angled northeast facade. The room shape and likely size fit office 507 best. The camera appears to be inside the room near the interior side, looking outward toward the windows, so I place the point slightly back from the facade within room 507.</t>
  </si>
  <si>
    <t>T3.22</t>
  </si>
  <si>
    <t>The photo best matches room 506 (MÖTESRUM), a meeting room with a central partition/TV wall and tables/chairs by the exterior windows. The coat rack niche and open seating area suggest the camera is inside the upper-left part of this room, looking southeast toward the partition and window side.</t>
  </si>
  <si>
    <t>T3.23</t>
  </si>
  <si>
    <t>The photo best matches room 506 (MÖTESRUM): it shows a meeting space with a large table, chairs, TV on an interior angled wall, coat rack near the entrance side, and a windowed edge beyond. The camera appears to be inside the meeting room near the lower-right/southeast side, aimed toward the angled interior partition and across toward the windows, so the best estimate is a point in the southeast portion of room 506.</t>
  </si>
  <si>
    <t>T3.24</t>
  </si>
  <si>
    <t>The photo matches the large meeting room 506 (MÖTESRUM): it shows a conference table, many chairs by the windowed outer wall, and a central partition/TV wall. The camera appears to be inside that room near the lower-right/interior side, looking toward the partition with the windows along the far exterior wall, so the best estimate is a point in the southeastern part of room 506.</t>
  </si>
  <si>
    <t>T3.25</t>
  </si>
  <si>
    <t>The photo best matches room 506 (MÖTESRUM): it shows a large meeting table, windows along one exterior wall, and multiple glass-fronted rooms/openings toward the office side. The camera appears positioned inside the meeting room near its interior side, looking across the table toward the central wall and glass openings, so the best estimate is near the lower-central part of room 506.</t>
  </si>
  <si>
    <t>T3.26</t>
  </si>
  <si>
    <t>The photo matches room 506 (MÖTESRUM): a large meeting table in the foreground, exterior windows along one long side, and multiple glass-fronted small offices/rooms visible across the opposite side. The camera appears to be inside the meeting room near its lower-central/right side, aimed across toward the interior partition and adjacent rooms, so the best floorplan position is within 506 close to the side facing 502/505.</t>
  </si>
  <si>
    <t>T3.27</t>
  </si>
  <si>
    <t>The photo matches room 506 (MÖTESRUM): it shows a large conference table, exterior windows along one long wall, and multiple glass-fronted small offices/meeting rooms plus an opening toward the office landscape on the opposite side, which fits the meeting room adjacent to 502/505/504. The camera appears to be inside 506 near its lower-central/right side, looking across the table toward the windows and the internal glass partitions.</t>
  </si>
  <si>
    <t>T3.31</t>
  </si>
  <si>
    <t>The photo shows a small glass-partitioned meeting room opening directly into a larger open office with exterior windows on two sides. On the plan, room 506 (MÖTESRUM) sits as a glazed meeting room embedded in the open office area 504, matching the angled glass walls and door. The camera appears to be inside 506 near its lower-right side, looking out through the glass door toward the open office, so the best position is inside 506 close to the door/open-office edge.</t>
  </si>
  <si>
    <t>T3.32</t>
  </si>
  <si>
    <t>The photo shows a glass-partitioned meeting room or booth opening into a larger open office with many windows and desks. On the plan, the best match is the small glazed room 505 PENTRY / adjacent open office 504 KONTORSLANDSKAP near the central core, where angled glass walls and a door face the larger workspace. The camera is most likely just inside the small room at its opening toward the open office, near the glass door and partition corner.</t>
  </si>
  <si>
    <t>T3.33</t>
  </si>
  <si>
    <t>The photo shows a glass-partitioned meeting room/open-office edge with exterior windows on multiple sides and angled glazing, which best matches the small glazed room 505 (Pantry) beside the large open office 504. The camera appears just inside the southwest side of that room, near the glass door looking across into the open office and toward the facade windows.</t>
  </si>
  <si>
    <t>T3.34</t>
  </si>
  <si>
    <t>The photo shows a small glass-walled meeting room with a table and chairs directly beside the long exterior window facade, looking into the open office area. This best matches room 506 MÖTESRUM at the top center-right of the plan. The camera appears to be inside that room near its left/west end by the exterior windows, aimed diagonally through the glass wall toward the office, so the position is placed slightly inside the southwest side of room 506.</t>
  </si>
  <si>
    <t>T3.35</t>
  </si>
  <si>
    <t>The photo matches room 506 (MÖTESRUM): it is a small meeting room with a table, directly along the long exterior window facade and separated from the adjacent open office by a glass wall. The camera appears to be inside the meeting room near its inner-left corner, looking diagonally through the glass partition toward the open office, so the best position is near the southwest side of room 506, slightly in from the walls.</t>
  </si>
  <si>
    <t>T3.36</t>
  </si>
  <si>
    <t>The photo shows a small glass-walled meeting room with a table, directly beside the windowed exterior facade and looking into an open office area. This best matches room 506 MÖTESRUM at the top center-right of the plan, which sits along the exterior windows and opens toward the open office/pantry side. The camera appears positioned near the inner-left corner of that room, close to the short wall and window edge, facing diagonally through the glass toward the larger office.</t>
  </si>
  <si>
    <t>T3.37</t>
  </si>
  <si>
    <t>The photo appears to be taken inside the meeting room 506 (MÖTESRUM): it has a meeting table in the foreground, exterior windows along one side, and glass partitions/doors opening to the adjacent open office area 504 and hall near 505. The camera is likely near the inner-right side of room 506, looking diagonally across the room toward the windows and glass wall, so the best floorplan position is inside 506 close to its southeast side.</t>
  </si>
  <si>
    <t>T3.38</t>
  </si>
  <si>
    <t>The photo appears to be taken inside the polygonal meeting room 506 (MÖTESRUM): it has a meeting table, strong exterior windows along one side, and glass partitions/doors opening toward the office landscape and pantry side. The camera is positioned near the inner/right side of room 506, close to the glass wall facing the central office area, looking diagonally across the room toward the windowed facade and adjacent glass partitions.</t>
  </si>
  <si>
    <t>T3.39</t>
  </si>
  <si>
    <t>The photo appears to be taken inside the large glazed meeting room 506 (MÖTESRUM). Visible clues are the curved/angled glass partitions with dotted decals, a meeting table in the foreground, and open office space outside the glass to the right, matching room 506 adjacent to the open office 504 and near pantry 505. The camera is likely positioned near the upper-left side of room 506, looking diagonally across the glass wall toward the open office.</t>
  </si>
  <si>
    <t>T3.40</t>
  </si>
  <si>
    <t>The photo appears to be inside a very small enclosed room or vestibule with two inward-facing doors and a first-aid cabinet, which best matches room 516 ELC next to the service core. The camera seems positioned just inside that small room, near the doorway on the right side, looking toward the double doors on the opposite wall.</t>
  </si>
  <si>
    <t>T3.41</t>
  </si>
  <si>
    <t>The photo shows a very small enclosed vestibule/storage-like room with double doors ahead and another door on the right, plus a wall-mounted first-aid cabinet and chairs. On the plan, room 511 (FRD/förråd) is the best match: it is a small room beside the WC/stair core with a door from the west side and another connection toward the WC/corridor side, matching the visible door arrangement. The camera is likely just inside 511 near its southwest side, facing the double doors on the north wall.</t>
  </si>
  <si>
    <t>T3.42</t>
  </si>
  <si>
    <t>The photo appears to be inside a very small enclosed room with double doors ahead and another door on the right, matching the compact first-aid room 511 FRD next to the WC/stair core. The cramped layout and door arrangement suggest the camera is positioned just inside that room, a little back from the double doors and near the side wall.</t>
  </si>
  <si>
    <t>T3.43</t>
  </si>
  <si>
    <t>The photo shows a small corridor with two doors labeled WC on the right, a column in the hall, and the corridor bending left. This best matches the restroom/passage zone around rooms 512 WC and 514 ST near passage 510 on the right side of the floorplan. The camera is likely standing in the short corridor just west/northwest of the 512 WC doors, looking along the bend toward the left, near the column shown in that passage area.</t>
  </si>
  <si>
    <t>T3.44</t>
  </si>
  <si>
    <t>The photo shows a small corridor with two doors labeled WC and a visible round column, which best matches the restroom passage area around rooms 510 PASSAGE / 512 WC / 515 RWC near the stair. The camera appears to be standing in the narrow passage just west of the WC doors, looking slightly northwest down the corridor, so the best floorplan position is in that passage beside the column and restroom entrances.</t>
  </si>
  <si>
    <t>T3.45</t>
  </si>
  <si>
    <t>The photo shows a small corridor with two adjacent doors labeled WC and a nearby column, matching the restroom passage area around rooms 510/512/514/515 next to the stair core on the right side of the plan. The camera appears to be standing in the narrow passage just west of the WC doors, looking northwest toward the bend and column.</t>
  </si>
  <si>
    <t>T3.46</t>
  </si>
  <si>
    <t>The query shows an interior corridor with several office doors on one side, a visible column, and the corridor continuing toward a brighter open area. This best matches the small passage/corridor zone around rooms 510/516/517 next to the stair and WC core, where multiple doors line a narrow hall and it opens toward the larger office landscape. The camera is likely positioned in that passage, slightly west of the stair core, facing along the corridor toward the open office area.</t>
  </si>
  <si>
    <t>T3.47</t>
  </si>
  <si>
    <t>The photo shows a narrow corridor with several office doors on one side, a curved corridor wall and a structural column nearby. This best matches the small passage/office corridor around rooms 507–510, just west of the service core. The camera appears positioned in the passage outside these offices, facing along the corridor with the doors close on the right side.</t>
  </si>
  <si>
    <t>T3.48</t>
  </si>
  <si>
    <t>The photo shows a narrow interior corridor with several office doors along one side, a column in the corridor, and the hall continuing toward a brighter open area. This best matches the small passage/corridor by rooms 507–510 and 511/512 on the right side of the plan. The camera appears positioned in that passage near the bend/opening toward the larger office area, looking along the row of doors.</t>
  </si>
  <si>
    <t>T3.49</t>
  </si>
  <si>
    <t>The photo is taken inside a small restroom/handwash area: visible sink, mirror, soap dispenser, dark tile floor, and a doorway opening to carpeted corridor. On the plan, the best match is room 515 RWC next to 514 ST and 516 ELC, since it is a compact restroom opening into the small passage. The camera appears to be just inside the restroom at the sink along the right wall, looking out through the door, so the position is placed within 515 near its wall-mounted sink side.</t>
  </si>
  <si>
    <t>T3.50</t>
  </si>
  <si>
    <t>The photo is taken inside a small restroom/wash area: visible sink, mirror, soap dispenser, dark tile floor, and a doorway opening to the corridor. On the plan, the best match is room 515 RWC beside the WC/ST core, since it is the compact restroom with a door to the passage. The camera appears to stand just inside that restroom near the sink/mirror wall, facing out toward the door, so the point is placed inside 515 close to its right-hand wall.</t>
  </si>
  <si>
    <t>T3.51</t>
  </si>
  <si>
    <t>The photo is taken inside a small restroom/handwash area: visible sink, mirror, soap dispenser, tiled floor, and a doorway opening to carpeted office space. On the plan, the best match is room 515 RWC beside 514 ST and the 516/510 passage cluster. The camera appears to be standing inside the restroom near the sink along the right wall, facing toward the doorway, so the position is placed inside 515 close to its right/east wall.</t>
  </si>
  <si>
    <t>T3.52</t>
  </si>
  <si>
    <t>The query image appears to be inside a restroom: visible soap/towel dispenser and sanitary fixture, with the camera aimed up into a tight corner. On the floorplan, the most plausible matching area is the small restroom 515 RWC beside 514 ST/516 ELC. The camera is likely placed near an interior corner of that room, so I chose a point within 515 close to a wall corner.</t>
  </si>
  <si>
    <t>T3.53</t>
  </si>
  <si>
    <t>The photo appears to be inside a restroom: visible soap/towel dispenser and the top of a urinal/toilet fixture, with the camera aimed up into a tight wall corner. On the plan, the most likely matching small restroom area is 515 RWC near the lower-right cluster. The corner geometry suggests the camera is positioned inside that room near one wall corner rather than in the larger WC 512, so I place the point within 515 RWC close to its interior corner.</t>
  </si>
  <si>
    <t>T3.54</t>
  </si>
  <si>
    <t>The query shows a restroom corner with a wall-mounted soap/towel dispenser and part of a urinal, so this is most likely inside the small WC/restroom cluster on the right side of the plan. The best match is room 515 RWC, positioned near an interior corner rather than the center of the room.</t>
  </si>
  <si>
    <t>T3.55</t>
  </si>
  <si>
    <t>The photo appears to be taken inside a small washroom or toilet vestibule: visible sink, mirror, soap dispenser, paper dispenser, and a door opening to a curved corridor outside. On the plan, the best match is the restroom cluster around rooms 514/515 near 516 ELC, where a small WC/RWC area opens into the passage 510. The camera is most likely inside the small washroom space just left of the passage, positioned near the sink and facing outward toward the door.</t>
  </si>
  <si>
    <t>T3.56</t>
  </si>
  <si>
    <t>The query photo appears to be inside a small restroom/wash area: visible sink, soap dispenser, paper dispenser, and a door opening into a curved corridor. On the floorplan, the best match is the small restroom cluster around room 515 RWC near the lower-right side, which connects directly to the curved passage 510. The camera is most likely just inside the restroom near the sink wall, facing the doorway toward the passage, so I place the point within 515 close to its upper-right side.</t>
  </si>
  <si>
    <t>T3.57</t>
  </si>
  <si>
    <t>The photo appears to be taken inside a small restroom/wash area: visible sink, mirror, soap dispenser, tiled floor, and an outward door opening to a curved corridor. On the plan, the best match is room 515 RWC beside 514 ST and near the small passage/stair core, since it is a compact sanitary room with a door into the curved circulation space. The camera is most likely positioned inside 515 near the sink wall, a little back from the doorway.</t>
  </si>
  <si>
    <t>T3.58</t>
  </si>
  <si>
    <t>The photo shows a small perimeter office with strong daylight from windows behind/left of the camera, a carpeted room, a floor box, one main glazed door opening to a larger office area with windows, and a second solid internal door on the same wall. This best matches one of the small offices along the south side corridor; the visible adjacent larger workspace through the glazed door suggests the camera is in the westmost small office next to the angled west wing. The camera appears positioned near the window side of that room, looking inward toward the corridor-side wall with the two doors.</t>
  </si>
  <si>
    <t>T3.59</t>
  </si>
  <si>
    <t>The photo looks like a small perimeter office: carpeted room, strong sunlight from exterior windows on the left, and an open glazed door leading into a brighter shared office area with worktops/cabinets. On the plan, the best match is one of the small offices along the south facade opening north into corridor B303/PASSAGE, near the right half of the row. The camera appears placed inside the office near the window side, looking back toward the corridor door and a secondary internal closet/solid door on the right wall, so I place it slightly inside one of those south offices close to its outer wall.</t>
  </si>
  <si>
    <t>T3.60</t>
  </si>
  <si>
    <t>The photo appears to be taken inside one of the small south-facing offices along the bottom corridor: carpeted room, strong sunlight from exterior windows behind the camera, and a door opening to the corridor plus a second internal door/windowed opening into an adjacent room. The best match is one of the offices in the lower central-right row; the camera is placed near the exterior-window side of that office, aimed back toward the corridor-side wall and doors.</t>
  </si>
  <si>
    <t>T3.61</t>
  </si>
  <si>
    <t>The photo shows a narrow perimeter office with a long exterior window wall on the left, radiator below, and a glazed door opening into the interior corridor/room cluster on the right. On the plan, the small offices along the bottom edge match this layout best. The view is most consistent with one of the right-side offices near B303, looking inward toward the corridor, with the camera placed close to the exterior window wall near the left side of that room.</t>
  </si>
  <si>
    <t>T3.62</t>
  </si>
  <si>
    <t xml:space="preserve"> The photo shows a small perimeter office with a long exterior window wall on the left, an interior door on the right opening to a corridor/pantry-like area, and another narrow window on the far wall. This best matches one of the small offices along the south façade, just west of the B303 passage. The camera appears positioned near the exterior window side of that office, looking inward toward the door.</t>
  </si>
  <si>
    <t>T3.63</t>
  </si>
  <si>
    <t>The photo shows a narrow perimeter office with large exterior windows on the left and a single door opening into an internal corridor/pantry-like area. On the plan, the small offices along the bottom edge match this layout best: exterior façade windows on one side and doors to the inner corridor on the other. The camera appears to be inside one of these rooms near the windowed exterior wall, looking inward toward the corridor door, so I placed the point in a bottom-row office slightly left of center of that room.</t>
  </si>
  <si>
    <t>T3.64</t>
  </si>
  <si>
    <t>The photo appears to be taken inside a small perimeter office with two exterior windows on adjacent walls and an internal glazed door opening toward the larger office area. On the floorplan, the small room at the south side of the large 302 KONTORSLANDSKAP area near the balcony connection best matches this layout. The camera is positioned near the corner by the windows, looking inward toward the door and interior wall.</t>
  </si>
  <si>
    <t>T3.65</t>
  </si>
  <si>
    <t>The photo appears to be taken inside a small perimeter office along the south facade: it has two exterior windows meeting at a corner/angled wall and an inward door opening to a corridor/office area with built-in cabinetry visible beyond. On the plan, the small rooms lining the bottom edge fit this best, especially one of the corner-adjacent offices near the east side where the facade geometry changes. The camera is likely positioned near the windowed corner of that office, looking inward toward the door.</t>
  </si>
  <si>
    <t>T3.66</t>
  </si>
  <si>
    <t>The photo appears to be taken inside one of the small perimeter offices along the south side of the plan: it is a narrow rectangular room with exterior windows on the left side and a single inward door opening to the internal corridor. The strongest match is one of the small offices just west of area B303 PASSAGE. The camera is positioned near the windowed exterior wall, slightly inside the room and facing back toward the corridor door.</t>
  </si>
  <si>
    <t>T3.67</t>
  </si>
  <si>
    <t>The photo matches the large open office area 302 (KONTORSLANDSKAP): it is a big unobstructed room with a long exterior window wall on one side, plus internal doors and a small corridor/opening along the opposite wall. The camera appears to stand inside the open room near its lower-left/central part, looking toward the upper/right interior wall where the doors and column are located.</t>
  </si>
  <si>
    <t>T3.68</t>
  </si>
  <si>
    <t>The photo matches the large open office area 302 KONTORSLANDSKAP: a wide carpeted room with a long exterior window wall on the left, an internal wall with several doors on the right, and a visible column near the back. The camera appears to be positioned inside the open area, somewhat toward its left/southwest side, looking diagonally toward the internal wall and passage/door area near room 303/306.</t>
  </si>
  <si>
    <t>T3.69</t>
  </si>
  <si>
    <t>The photo matches the large open office area 302 KONTORSLANDSKAP: a broad open room with many exterior windows on one side and doors/openings into the core on the opposite side. The camera appears to be positioned inside this room near its left-central side, looking diagonally toward the internal wall with doors and toward the darker passage, so the best floorplan point is in the western half of room 302.</t>
  </si>
  <si>
    <t>T3.70</t>
  </si>
  <si>
    <t>The photo matches the large open office area 302 (KONTORSLANDSKAP): it has a broad carpeted space, slanted exterior window wall, and multiple round columns visible on the plan. The view appears to be from the middle-right part of this room, near one column, looking toward the small doorway/exit alcove along the upper-left side of the open area.</t>
  </si>
  <si>
    <t>T3.71</t>
  </si>
  <si>
    <t>The photo matches the large open office area 302 (KONTORSLANDSKAP): it has broad open carpeted space, perimeter windows, and several round columns that appear on the plan as isolated circular supports. The exterior glass door and angled perimeter wall fit the upper-left edge of room 302 near the pantry/hiss core. The camera is likely positioned a bit inside the open area, near one of the central columns, looking toward the northwest corner and exit door.</t>
  </si>
  <si>
    <t>T3.72</t>
  </si>
  <si>
    <t>The photo matches the large open office area 302 (KONTORSLANDSKAP): it has a broad carpeted space, exterior windows along the outer wall, multiple round columns, and a nearby glazed exit/door by a small projecting wall. The camera appears to be inside this open room, a bit left of center and facing toward the southeast-side interior wall/door zone near passage 306, so the best estimate is around (3190,1770).</t>
  </si>
  <si>
    <t>T3.73</t>
  </si>
  <si>
    <t>The query shows a large open office with many perimeter windows, two interior round columns, and a small kitchenette/pantry against the inner wall. This best matches area 302 KONTORSLANDSKAP next to 303 PENTRY. The camera appears to be inside the open office, roughly central but a bit toward the pantry/core side, with the main windowed facade wrapping around to the right and left. I placed the point near the middle-left of room 302, close to the interior columns.</t>
  </si>
  <si>
    <t>T3.74</t>
  </si>
  <si>
    <t>The photo matches the large open office area 302 KONTORSLANDSKAP: a wide open room with many perimeter windows, a small pantry/island near the HISS/PENTRY side, and visible round columns that correspond to the two column markers shown in the room. The camera appears to be near the central part of this open space, slightly left of the room’s middle and close to one of the columns, looking toward the windowed outer wall and the pantry/core side.</t>
  </si>
  <si>
    <t>T3.75</t>
  </si>
  <si>
    <t>The photo matches the large open office area 302 (KONTORSLANDSKAP): it is a broad unobstructed space with many exterior windows along the angled façade, a small pantry/kitchenette visible inside the room, and several interior columns. The camera appears to be positioned near the middle-left part of this open space, close to one of the central columns and facing toward the windowed outer wall and pantry side.</t>
  </si>
  <si>
    <t>T3.76</t>
  </si>
  <si>
    <t>The photo shows a covered exterior/balcony walkway with a long run of windows and a door into the office area. On the plan, the clearest match is the diagonal area labeled ‘BALKONG’ along the southeast side of room 302, where a narrow exterior passage runs beside a window wall. The viewpoint appears to be standing on that balcony near its upper-left end, looking along the facade toward the southeast.</t>
  </si>
  <si>
    <t>säger balkong men placerar inomhus</t>
  </si>
  <si>
    <t>T3.77</t>
  </si>
  <si>
    <t>The photo shows a covered exterior balcony/walkway with a long run of windows and a door into the office area. On the plan, the narrow diagonal area labeled “BALKONG” beside room 302 matches this façade condition. The perspective suggests the camera is standing on that balcony near its upper-left end, looking along the windows toward the lower-right, so the best camera position is on the balcony just outside the 302 wall.</t>
  </si>
  <si>
    <t>T3.78</t>
  </si>
  <si>
    <t>The photo shows a covered exterior balcony/walkway with a long run of windows on one side and open lightwell/courtyard space on the other. On the plan, this best matches the diagonal area labeled ‘BALKONG’ beside room 302. The camera appears positioned near the upper end of that balcony, close to the door/window line and looking down the walkway toward the narrower end, so the best estimate is along the northwest portion of the BALKONG segment.</t>
  </si>
  <si>
    <t>T3.79</t>
  </si>
  <si>
    <t>The photo appears to be taken from the balcony/walkway outside the large open office area 302: there is an exterior-style railing, façade cladding, and a glazed door opening directly into a large room. On the plan, the only matching narrow balcony is the diagonal area labeled ‘BALKONG’ along room 302. The camera is best placed near the upper end of this balcony, just outside the door into 302, looking along the railing and toward the façade corner.</t>
  </si>
  <si>
    <t>T3.80</t>
  </si>
  <si>
    <t>The photo appears to be taken from the narrow exterior balcony/walkway labeled ‘BALKONG’, right beside a glazed door entering the large office area 302 KONTORSLANDSKAP. The railing in the foreground and the open door into a large room match this balcony edge and doorway, so the camera is placed on the balcony just outside that entrance.</t>
  </si>
  <si>
    <t>T3.81</t>
  </si>
  <si>
    <t>The photo appears to be taken on the narrow exterior balcony/walkway labeled ‘BALKONG’, right beside a glazed door into the large open office area 302. The railing, exterior cladding, and door into a bright open room match this balcony edge. The camera is positioned along the balcony near the 302 entrance, slightly southwest of the doorway.</t>
  </si>
  <si>
    <t>T3.82</t>
  </si>
  <si>
    <t>The query shows an exterior-like narrow balcony/walkway with railing on the left, building wall and glass door on the right, and a long passage continuing ahead. This matches the slanted area labeled ‘BALKONG’ next to the large room 302. The camera appears to be on that balcony near its upper/northwest end by the door connection into the building, looking along the balcony toward the southeast.</t>
  </si>
  <si>
    <t>T3.83</t>
  </si>
  <si>
    <t>The photo appears to be taken on the exterior balcony/walkway labeled ‘BALKONG’ along the southeast side of the large open office area 302. The narrow outdoor passage with railing on one side and facade/door on the other matches this diagonal balcony. The camera is positioned roughly mid-to-upper part of that balcony near a door opening into the building, looking along the walkway toward the northeast.</t>
  </si>
  <si>
    <t>T3.84</t>
  </si>
  <si>
    <t>The query shows an exterior balcony/walkway along the building facade, with glazing/door on one side and another brick facade across a narrow lightwell. On the floorplan, this matches the long diagonal area labeled ‘BALKONG’ beside room 302. The camera appears to be standing on that balcony close to the door from the stair/hiss core, looking along the walkway toward its far end, so the best estimate is near the upper part of the BALKONG segment just southeast of the core.</t>
  </si>
  <si>
    <t>T3.85</t>
  </si>
  <si>
    <t>The photo shows a small elevator lobby: an elevator directly ahead-left and a glazed door opening into a brighter room on the right. On the plan, the clearest match is the elevator area labeled 311 ELC beside room 312 and the adjacent passage/lounge cluster at the lower-right. The camera is most likely standing just outside the elevator, in the small lobby space west-northwest of 311 ELC, facing toward the elevator and the glazed door into the brighter area.</t>
  </si>
  <si>
    <t>T3.86</t>
  </si>
  <si>
    <t>The photo shows a small elevator lobby: elevator doors directly ahead/left and a glazed door on the right leading into a brighter office room. On the floorplan, the clearest match is the elevator lobby labeled 311 ELC beside room 312 MÖTESRUM and the adjacent corridor/open office area. The camera appears to be standing just inside the small lobby, a little southwest of the elevator, facing toward the elevator wall and the glazed door to the open office side.</t>
  </si>
  <si>
    <t>T3.87</t>
  </si>
  <si>
    <t>The photo shows a small elevator lobby: a single elevator with a glazed door immediately beside it leading into a brighter office area. On the plan, the clearest match is the small elevator lobby labeled 311 ELC next to room 312 and the passage 306/307 cluster on the right side. The camera appears to be standing inside that small lobby, a little in front of and offset from the elevator, looking toward the elevator wall and the adjacent glazed door into the office area.</t>
  </si>
  <si>
    <t>T3.88</t>
  </si>
  <si>
    <t>The photo shows an enclosed stairwell with a turning flight, inner metal railing, and an exterior window at the landing. This best matches the angled stair core on the left-central part of the plan. The camera appears to be on the lower portion of that stair, looking up toward the landing/window, so the position is placed on the lower flight of that stairwell.</t>
  </si>
  <si>
    <t>T3.89</t>
  </si>
  <si>
    <t>The query shows an enclosed stairwell with a turning flight, central railing, and a tall exterior window at the landing. On the floorplan, the best match is the main stair core in area 300 TRAPPHUS near the center-top. The camera appears to be on the lower part of the stair run looking up toward the landing/window, so the position is placed on the southwest side of that stair enclosure.</t>
  </si>
  <si>
    <t>T3.90</t>
  </si>
  <si>
    <t>The photo shows an enclosed stairwell with a turning flight, inner metal guardrail, outer wall handrail, and a tall exterior window at the landing. On the floorplan, the clearest match is the main stair core in room 300 (TRAPPHUS) near the center-top of the plan. The camera appears to be on the lower part of the stair flight looking up toward the windowed landing, so the best estimate is on the southwest side of that stair core.</t>
  </si>
  <si>
    <t>säger rätt plats men missuppfattar trapporna</t>
  </si>
  <si>
    <t>T3.91</t>
  </si>
  <si>
    <t>The query shows a stair landing with an elevator immediately beside it and a door opposite the landing. On the floorplan, the clearest match is the lower-central stair/elevator core enclosed in red dashed fire walls. The camera appears to be standing on the landing just west/northwest of the elevator, looking toward the door and adjacent stair run.</t>
  </si>
  <si>
    <t>T3.92</t>
  </si>
  <si>
    <t>The query shows a stair landing with an adjacent elevator and a door directly ahead. On the floorplan, the clearest match is the lower-central elevator/stair core enclosed by red dashed walls. The camera appears to be standing on the small landing between the stair and lift, facing toward the corridor door, so the best position is just to the right of the elevator within that stair lobby.</t>
  </si>
  <si>
    <t>T3.93</t>
  </si>
  <si>
    <t>The photo shows a stair landing with an elevator directly beside it and a glazed door ahead, matching the elevator/stair core at the lower center of the plan. The camera is most likely on the landing just west of the elevator shaft, facing toward the door and stair run.</t>
  </si>
  <si>
    <t>T3.94</t>
  </si>
  <si>
    <t>The photo shows a very small cellular office/utility room with one inward-opening door to the corridor and no visible windows in the room itself, matching one of the small single rooms along the south corridor. The carpeted enclosed room and the door position fit the row of small offices best; I placed the camera inside one of these rooms near its far-right side, looking back toward the corridor door.</t>
  </si>
  <si>
    <t>T3.95</t>
  </si>
  <si>
    <t>The photo shows a very small enclosed office/technical room with carpet, one inward door to a corridor, no exterior windows in the room itself, and a service/vent pipe installation. On the plan, the best match is one of the small cellular rooms along the south corridor block. The camera appears placed inside the room near the wall opposite the door, angled toward the door and corner, so I placed the point slightly back from the corridor-side doorway within one of these small rooms.</t>
  </si>
  <si>
    <t>T3.96</t>
  </si>
  <si>
    <t>The photo shows a very small enclosed office/clinic-style room with one inward-opening door to the corridor, no internal windows, a floor vent, and a wall-mounted service hose. On the plan, the row of small similar rooms along the lower middle edge best matches this layout. The camera appears to be inside one of these narrow rooms, positioned near the far-right corner opposite the door and looking back toward the doorway, so I placed the dot inside one of the small rooms in that row.</t>
  </si>
  <si>
    <t>T3.97</t>
  </si>
  <si>
    <t>The photo appears to be taken in the narrow balcony/corridor labeled ‘BALKONG’ along the inner courtyard: there is a large exterior-facing window on the left into the courtyard and glass doors on the right opening into the open office area 302. The camera is positioned near the upper/northwest end of that balcony, just beside the first office door/window section, looking southeast along the corridor.</t>
  </si>
  <si>
    <t>T3.98</t>
  </si>
  <si>
    <t>The photo appears to be taken from the narrow triangular corridor/transition area by the balcony/atrium edge, just outside the large open office 302 KONTORSLANDSKAP. Clues are the full-height exterior window on the left looking into an internal courtyard, and the glazed door straight ahead opening into a large open room. On the plan, this best matches the small angled corridor at the southwest side of room 302 near the BALKONG connection, with the camera positioned close to the windowed wall and facing into 302.</t>
  </si>
  <si>
    <t>T3.99</t>
  </si>
  <si>
    <t>The photo appears to be taken in the narrow balcony/corridor labeled ‘BALKONG’ beside the large open office 302. The left-side exterior window looks into an inner lightwell/courtyard, and the door ahead opens into a large open-plan room with many windows, matching 302. The camera is likely positioned near the upper end of the BALKONG corridor, close to the doorway into 302 and facing into the open office.</t>
  </si>
  <si>
    <t>T3.100</t>
  </si>
  <si>
    <t>The query appears to be a small enclosed room with an exterior window on the left and interior glazed openings/door looking into the large open office. On the plan, the best match is room 307 (Samtalsrum) beside passage 306 and adjacent to the large 302 office area, with an exterior wall/window facing out. The camera is most likely near the outer-window side of room 307, aimed inward toward the glazed wall/door to the office and passage.</t>
  </si>
  <si>
    <t>T3.101</t>
  </si>
  <si>
    <t>The photo appears to be taken inside a small office/side room with an exterior window on the left and glazed openings/door looking into the large open office area. On the floorplan, the best match is the small triangular/angled room opening into area 302 KONTORSLANDSKAP along its lower-left side near the balcony/corridor junction. The camera is positioned inside that small room near the exterior window wall, facing inward toward the glazed partition and door into 302.</t>
  </si>
  <si>
    <t>T3.102</t>
  </si>
  <si>
    <t>The photo appears to be taken inside a small enclosed room with an exterior window on the left and interior glazed openings/door looking into the large open office area. This matches the small triangular room labeled 307 (Samtalsrum) beside passage 306 and adjacent to the large 302 Kontorslandskap. The camera is positioned near the inner corner of room 307, close to the exterior window wall, facing toward the glazed partition/door into the office.</t>
  </si>
  <si>
    <t>T3.103</t>
  </si>
  <si>
    <t>The photo matches the large open office area 302 (KONTORSLANDSKAP): it is a wide open room with multiple perimeter windows and several round columns, unlike the smaller enclosed rooms nearby. The view appears to be from the left/west side of this space looking toward the north/northeast windowed facade, with a nearby wall/door and column on the left edge and open space extending to the right. That places the camera near the western side of room 302, slightly inside the open area.</t>
  </si>
  <si>
    <t>T3.104</t>
  </si>
  <si>
    <t>The photo matches the large open office area 302 KONTORSLANDSKAP: it has a broad open space, multiple perimeter windows, and several round structural columns visible on the plan. The camera appears to be near the left/west side of this room, close to an interior wall/door and one column, looking toward the windowed outer facade on the north/east side. This places the position slightly left of center within room 302.</t>
  </si>
  <si>
    <t>T3.105</t>
  </si>
  <si>
    <t>The photo matches the large open office area 302 (KONTORSLANDSKAP): it is a big unobstructed room with several interior columns and a long run of exterior windows. The camera appears close to the left interior wall/entry corner, looking diagonally across the room toward the windowed outer facade and deeper open space to the right. This places the position near the left-central side of room 302, just inside the entrance from the core.</t>
  </si>
  <si>
    <t>T3.106</t>
  </si>
  <si>
    <t>The photo matches the large open office area 302 (KONTORSLANDSKAP): it is a wide open room with many perimeter windows along the right/exterior wall and another windowed wall ahead, plus a central column and open floor area. The camera appears positioned near the right-hand window line, looking diagonally across the room toward the interior/core side and the far end, so the best estimate is in the eastern side of room 302, slightly in from the windows.</t>
  </si>
  <si>
    <t>T3.107</t>
  </si>
  <si>
    <t>The photo matches the large open office area 302 KONTORSLANDSKAP: a broad empty room with many perimeter windows along the right/exterior wall, plus an internal core with door/elevator and small kitchenette-like fixtures visible ahead. The camera appears to be positioned near the southeast side of this open space, close to the long windowed wall and looking diagonally northwest across the room toward the internal core, so the best floorplan point is in the right-lower portion of room 302.</t>
  </si>
  <si>
    <t>T3.108</t>
  </si>
  <si>
    <t>The photo matches the large open office area 302 (Kontorslandskap): a big unobstructed room with many perimeter windows, radiators under the windows, and a few interior columns. The camera appears to be near the right/eastern window wall, looking diagonally across the room toward the inner/core side where the lift/door area sits. This places the camera in the eastern side of room 302, slightly south of center.</t>
  </si>
  <si>
    <t>T3.109</t>
  </si>
  <si>
    <t>The query shows a large open office area with many exterior windows along the right side, matching room 302 (KONTORSLANDSKAP), the only big open space with a long windowed facade. The view appears to be taken from the left/west side of that room, looking diagonally across toward the far wall and right-side windows, so the camera is best placed in the western half of room 302 near its center-left edge.</t>
  </si>
  <si>
    <t>T3.110</t>
  </si>
  <si>
    <t>The photo matches the large open office area 302 (Kontorslandskap): a broad irregular room with many exterior windows along the right/east wall, additional windows on the far wall, and interior columns. The viewpoint appears to be near the west/left interior side of this room looking diagonally across toward the far east/southeast windows, so the camera is placed in the left-central part of room 302, slightly below its midpoint.</t>
  </si>
  <si>
    <t>T3.111</t>
  </si>
  <si>
    <t>The photo matches the large open office area 302 (KONTORSLANDSKAP): a broad irregular room with many exterior windows along the right-hand facade, several interior columns, and doors/openings toward the left side. The viewpoint appears to be near the windowed southeast side of this space, looking diagonally across the room toward the northwest/interior side, so the camera is best placed slightly inside the right edge of room 302.</t>
  </si>
  <si>
    <t>Position</t>
  </si>
  <si>
    <t>T6.1</t>
  </si>
  <si>
    <t>The photos most likely show the pantry/open office boundary around room 505 PENRTY opening into 504 KONTORSLANDSKAP. Visible cues are the kitchenette with fridge/microwaves, adjacent open office desks by the slanted window wall, and a door from the pantry toward the inner rooms. The camera appears to stand in the tiled pantry area near the transition to the carpeted open office, so I placed the point just inside the pantry/open area interface.</t>
  </si>
  <si>
    <t>T6.2</t>
  </si>
  <si>
    <t>The photos most likely show the pantry/open office junction around room 505 (PENTRY) opening into 504 (KONTORSLANDSKAP). Visible kitchenette, sloped exterior wall/window side, and the open office desks match this area. The camera seems to stand just inside the tiled pantry zone near the boundary to the carpeted open office, a little southwest of the pantry core.</t>
  </si>
  <si>
    <t>rätt beskrivning, fel plats</t>
  </si>
  <si>
    <t>T6.3</t>
  </si>
  <si>
    <t>The photos most likely show the small kitchenette/pantry area labeled 505, opening directly into the larger open office 504. Visible cues include the kitchen cabinets, fridge, tiled kitchenette floor transitioning to carpeted office space, and a door into an adjacent room. The camera seems positioned near the boundary between pantry 505 and the open office, slightly inside the pantry/opening toward 504.</t>
  </si>
  <si>
    <t>T6.4</t>
  </si>
  <si>
    <t>The photos show a small perimeter office with a strongly sloped ceiling, low windows on two exterior walls, and a door opening into the larger open office area. On the floorplan, the best match is the small wedge-shaped office 507 at the top-right façade, which has angled exterior walls and connects directly to the open office. The camera appears to be inside that room, slightly in from the doorway toward the windowed corner.</t>
  </si>
  <si>
    <t>T6.5</t>
  </si>
  <si>
    <t>he photos show a small perimeter office with a strongly sloped ceiling, low windows on two exterior walls, and a door opening into the larger open office area. On the plan, the best match is room 507 at the upper-right façade: it is a small corner office with two exterior windowed walls and a door to the open kontorslandskap. The camera appears positioned a bit inside that room, roughly near its center-left portion facing the exterior corner.</t>
  </si>
  <si>
    <t>T6.6</t>
  </si>
  <si>
    <t>The photos show a very small perimeter office with a sloped roof, two exterior windows, and a single door opening into the larger open office area. On the floorplan, the best match is room 507 KONTOR at the top-right corner, which has the narrow wedge shape and exterior window walls consistent with the images. The camera appears to be inside that room, a bit in from the door and oriented toward the corner windows.</t>
  </si>
  <si>
    <t>T6.10</t>
  </si>
  <si>
    <t>The photos most likely show the large open office area 504 KONTORSLANDSKAP near the windowed outer facade. One view looks directly at the facade windows with desks, and the other shows an internal meeting/lounge nook within the same open space. The camera is best placed in the upper-central part of room 504, a bit in from the facade and near the internal partition toward rooms 505/503.</t>
  </si>
  <si>
    <t>T6.11</t>
  </si>
  <si>
    <t>The photos show an open office/lounge area with perimeter windows and desks, plus an adjacent meeting/lounge corner separated by a central wall. This best matches room 504 KONTORSLANDSKAP near the windowed façade and the transition toward the balcony/open-office side, rather than the enclosed offices or meeting room. The point is placed inside 504, close to the central partition and window edge where both views could be taken from the same position facing different directions.</t>
  </si>
  <si>
    <t>T6.12</t>
  </si>
  <si>
    <t>The photos most likely show the large open office area 504 KONTORSLANDSKAP near the outer windowed façade. One view looks directly out through a row of tall perimeter windows from among desks, and the other shows a nearby informal meeting/table area within the same open space. The best camera position is therefore inside 504, close to its upper-right/window side but still within the open office interior.</t>
  </si>
  <si>
    <t>T6.13</t>
  </si>
  <si>
    <t>The photos show a small glazed meeting room with an angled glass partition opening into the open office, plus exterior windows on the building perimeter. On the floorplan, room 506 (MÖTESRUM) is the best match: it is a perimeter meeting room directly adjacent to the open office area 504 and has the distinctive angled geometry seen in the glass walls. The camera is most likely near the outer-window side of 506, a bit left of center within that room.</t>
  </si>
  <si>
    <t>tänker bara mötesrum pga inredning, hade kanske fått rätt om det stod "mötesrum" i ritning</t>
  </si>
  <si>
    <t>T6.14</t>
  </si>
  <si>
    <t>The photos show a small glazed meeting room with an angled glass wall and windows on two exterior sides, looking into the open office. This best matches room 506 (MÖTESRUM) at the top of the plan, which has the same wedge-like shape and perimeter windows. The camera appears near the outer/window corner inside that room, so I placed the dot slightly inside 506 near its northwest side.</t>
  </si>
  <si>
    <t>T6.15</t>
  </si>
  <si>
    <t>The photos show a small glass-walled meeting room with an oval table directly beside the long exterior window facade, looking out into an open office area. On the plan, the best match is room 506 (MÖTESRUM), the only perimeter meeting room adjacent to the open office/pentry zone and shaped consistently with the angled glass partition seen in the images. The point is placed inside 506 near its glass side, matching the camera position within that room.</t>
  </si>
  <si>
    <t>T6.19</t>
  </si>
  <si>
    <t>The photos show a small lobby/passage by the toilets: one view faces double doors with an RWC-labeled door beside them, and the other shows adjacent WC doors plus a column in the corridor. On the plan, the best match is the small passage area around rooms 510 PASSAGE / 515 RWC / 514 ST near the right-side stair core, with the camera positioned in the passage just outside the restroom doors.</t>
  </si>
  <si>
    <t>T6.20</t>
  </si>
  <si>
    <t>The photos show the small restroom passage area: one view faces double doors labeled RWC, and the other shows adjacent doors labeled WC with a column in a short corridor. On the plan this best matches the compact hall around rooms 514 ST, 515 RWC, and 512 WC near passage 510. The camera is most likely positioned in that small junction just outside RWC/WC.</t>
  </si>
  <si>
    <t>T6.21</t>
  </si>
  <si>
    <t>The photos show a small toilet anteroom/corridor with doors labeled WC and RWC plus a nearby double door, matching the service core around rooms 514 ST, 515 RWC, and 512 WC. The best fit is the small passage just west of the WC/RWC doors near the column, so I place the camera in that corridor area.</t>
  </si>
  <si>
    <t>T6.22</t>
  </si>
  <si>
    <t>The photos show a very small toilet/washroom with a sink, soap dispenser, paper dispenser, dark stone floor, and a door opening directly to carpeted office space. On the floorplan, the best match is the small WC cluster near rooms 514/515/516, specifically the WC 512 area on the right side. The camera appears to be inside that compact WC, near the sink/corner just inside the room.</t>
  </si>
  <si>
    <t>placeras utomhus</t>
  </si>
  <si>
    <t>T6.23</t>
  </si>
  <si>
    <t>The photos show a very small restroom with a sink, mirror, soap/towel dispensers, and a doorway opening directly to carpeted office space. On the floorplan, the best match is the compact WC/toilet area around rooms 512/514/515 near the east stair core. The camera seems to be inside the small WC, near the sink/corner by the door, so I place the point in the small restroom zone just west of the east stair.</t>
  </si>
  <si>
    <t>placeras i toa men i fel</t>
  </si>
  <si>
    <t>T6.24</t>
  </si>
  <si>
    <t>The photos show a very small restroom/wash area: a sink with mirror and soap dispenser, plus a toilet/paper dispenser, with a doorway opening directly to carpeted office space. On the floorplan, the best match is the small WC/RWC cluster near rooms 514–516 at the lower-right. The camera is most likely inside the larger accessible restroom 515 RWC, near the sink side by the doorway.</t>
  </si>
  <si>
    <t>T6.31</t>
  </si>
  <si>
    <t>The photos show a small perimeter office with a long exterior window wall, radiator below the windows, and an interior glass door opening into a corridor/pantry-like area. On the plan, the best match is one of the small offices along the bottom-left slanted facade, just left of the central stair/elevator core. The point is placed inside that office near the window side, roughly where the camera would stand while looking toward the door and adjacent room.</t>
  </si>
  <si>
    <t>T6.32</t>
  </si>
  <si>
    <t>The photos show a small perimeter office with large exterior windows along one side, a radiator below the windows, and a door opening into a larger office/pantry zone. On the plan, the best match is one of the small south-facing offices along the long corridor at the bottom-center/left, adjacent to the larger open office area. The camera appears to be standing inside that room near its middle, facing the door and window wall.</t>
  </si>
  <si>
    <t>T6.33</t>
  </si>
  <si>
    <t>The photos show a small perimeter office with a long exterior window wall on the left, strong sunlight, and a glazed door opening directly to a kitchenette/pantry-like space. On the plan, the best match is the small office at the lower-left end of the long office strip, immediately west of the central stair/elevator core, where a room has an exterior window edge and a door into the internal office/corridor zone. The point is placed inside that office near the window side, matching the camera position.</t>
  </si>
  <si>
    <t>T6.34</t>
  </si>
  <si>
    <t>The photos show a large open office area with perimeter windows, two round columns, and direct access to a balcony/exterior door plus nearby internal glazed doors. This best matches room 302 KONTORSLANDSKAP. The camera appears to be positioned in the western-central part of that open room, looking toward the east/southeast side where the doors and balcony connection are located.</t>
  </si>
  <si>
    <t>T6.35</t>
  </si>
  <si>
    <t>The photos show a large open office with perimeter windows, two round columns, and a balcony/exterior door niche. This best matches room 302 KONTORSLANDSKAP. The camera appears to be placed in the open central-left part of that room, looking toward the inner wall and the balcony/exit side.</t>
  </si>
  <si>
    <t>T6.36</t>
  </si>
  <si>
    <t>The photos match the large open office area 302 KONTORSLANDSKAP: broad carpeted room, multiple perimeter windows, several round columns, and nearby glazed doors/openings toward the passage/balcony side. The camera appears to be set a bit left of center within this open space, near one of the interior columns, looking toward the east/southeast side of the room.</t>
  </si>
  <si>
    <t>T6.40</t>
  </si>
  <si>
    <t>The photos show an exterior balcony/walkway with a glass railing, windows along one side, and a door into a large open office. On the plan, the only matching area is the long diagonal balcony labeled ‘BALKONG’ beside the large open room 302 (KONTORSLANDSKAP). The camera is most likely on this balcony near the door from room 302, roughly mid-upper portion of the diagonal walkway.</t>
  </si>
  <si>
    <t>T6.41</t>
  </si>
  <si>
    <t>The photos show an exterior-access balcony/catwalk with a glass railing, looking along windows and a door into the large office area. On the plan, the distinctive diagonal area labeled BALKONG borders room 302 (KONTORSLANDSKAP) and connects near passage 306/312. The best match is on this balcony near the upper end by the doorway into 302.</t>
  </si>
  <si>
    <t>T6.42</t>
  </si>
  <si>
    <t>The photos show an exterior balcony/walkway with a glass guardrail, windows/door into office space, and an inside corner with a downpipe. On the plan, the only matching narrow balcony is the area labeled ‘BALKONG’ beside the large room 302 and near room 312. The camera is most likely on this balcony near its inner corner by the door, roughly at (2770,2105).</t>
  </si>
  <si>
    <t>T6.43</t>
  </si>
  <si>
    <t>The photos show a small elevator lobby directly beside a stairwell, with an elevator marked floor 5 and a glazed door looking into an open office area. On the plan, the best match is the elevator/stair core around rooms 309–312 next to the large open office area 302. The camera is most likely in the small landing between the elevator (311 ELC) and the stair, near the connection to 302.</t>
  </si>
  <si>
    <t>T6.44</t>
  </si>
  <si>
    <t>The photos show a small elevator lobby directly beside a stairwell with a window, matching the compact core around the labeled elevator/stair area near rooms 309–312. The camera is most likely in the small landing between the elevator (ELC/311) and the stair enclosure, just outside the stair.</t>
  </si>
  <si>
    <t>T6.45</t>
  </si>
  <si>
    <t>The photos show a small elevator lobby directly beside a stairwell with a window, matching the compact core around the elevator labeled 311 ELC and adjacent stairs near area 312 MÖTESRUM / 306 PASSAGE. The camera appears to be in the small landing just outside the elevator and next to the stair, so the best estimate is in that lobby space west of the elevator shaft.</t>
  </si>
  <si>
    <t>T6.49</t>
  </si>
  <si>
    <t>The photos show a very small enclosed room with one large interior-facing window, a radiator below it, and glazed doors looking into a much larger open office area. That best matches one of the small rooms along the north side of corridor B303, facing the large open workspace 302/KONTORSLANDSKAP across the internal lightwell. The camera is most likely inside the left-middle of those small rooms, near the window/door corner.</t>
  </si>
  <si>
    <t>T6.50</t>
  </si>
  <si>
    <t>The photos show a very small enclosed office/booth with one large interior window to an atrium/lightwell, a door with glazing opening to a large open-plan office, and another glazed door. On the plan, the best match is one of the tiny rooms along the north side of the long lower corridor block that face the internal lightwell/open office zone. The viewpoint appears near the right side of one such small room, close to its corridor-side doors and interior window, so I place the camera in the small room around x=2355, y=3355.</t>
  </si>
  <si>
    <t>T6.51</t>
  </si>
  <si>
    <t>The photos show a very small enclosed room with one large interior-facing window, a radiator below it, and glazed doors looking into a large open office area. On the plan, the best match is the small room along the north side of the long bottom corridor that opens into the large kontorslandskap/open-office zone. The camera appears near the middle of that small room, slightly toward the corridor side.</t>
  </si>
  <si>
    <t>T6.52</t>
  </si>
  <si>
    <t>The photos show a large open-plan office with many perimeter windows, several round columns, and a small pantry/elevator core visible across the room. This best matches room 302 KONTORSLANDSKAP. The camera appears to be near the windowed outer wall on the southeast/right side of that room, looking back across the open space toward the pantry/lift area and other windows.</t>
  </si>
  <si>
    <t>T6.53</t>
  </si>
  <si>
    <t>The photos show a large open office with many perimeter windows, several round columns, and nearby pantry/elevator-core elements. This best matches room 302 (KONTORSLANDSKAP). The viewpoint appears to be along the windowed southeast edge, looking across the open space toward the elevator/pantry side, so I place the camera slightly inside the right side of room 302.</t>
  </si>
  <si>
    <t>T6.54</t>
  </si>
  <si>
    <t>The photos show a large open-plan office with many perimeter windows, several round columns, and a small pantry/elevator core visible from the same spot. This best matches room 302 (KONTORSLANDSKAP). The camera appears to be near the windowed southeast side of that room, looking across toward the pantry/elevator side and the long north window wall.</t>
  </si>
  <si>
    <t>T4.1</t>
  </si>
  <si>
    <t>The query shows a kitchenette/pantry with fridge, microwaves, sink and coffee area under a sloped roof, matching room 505 PENRTY. The open doorway appears to look out toward the larger office/open area, so the camera is most likely inside the pantry near its outer/sloped-wall side, facing inward toward the kitchenette wall</t>
  </si>
  <si>
    <t>T4.2</t>
  </si>
  <si>
    <t>The query image is most consistent with the pantry/kitchen area labeled 505 PANTRY: it shows a kitchenette with fridge, microwaves, sink, and sloped ceiling. The doorway appears to look into the adjacent office area, matching the pantry opening toward the larger open space. The camera is best placed inside room 505 near its lower-left/central side, facing inward toward the kitchenette wall and doorway.</t>
  </si>
  <si>
    <t>T4.3</t>
  </si>
  <si>
    <t xml:space="preserve">The query shows a kitchenette/pantry with fridge, microwaves, sink, and sloped ceiling, which matches room 505 PENTRY. The open doorway appears to look out toward the larger open office area, so the camera is most likely positioned inside the pantry near its lower-left/central side facing southeast toward the doorway.
</t>
  </si>
  <si>
    <t>T4.4</t>
  </si>
  <si>
    <t>The photo most likely shows the pantry/open-office transition near room 505 PENRTY and 504 KONTORSLANDSKAP. Visible clues are the kitchenette with refrigerator, tiled pantry floor changing to carpeted open office, and exterior windows/open desks to the left. The camera appears positioned in the tiled pantry area just beside the partition wall, looking into the open office.</t>
  </si>
  <si>
    <t>T4.5</t>
  </si>
  <si>
    <t>The photo most likely shows the pantry/open office transition around room 505 (PENTRY) next to the large open office 504 (KONTORSLANDSKAP). Visible cues are the kitchenette with refrigerator, tiled pantry floor, and the open desk area with exterior windows immediately to the left. The camera appears to stand in the tiled pantry area, looking toward the open office and the small corridor by the dark doorway, so the best estimate is near the center/front of room 505 by its opening toward 504.</t>
  </si>
  <si>
    <t>T4.6</t>
  </si>
  <si>
    <t xml:space="preserve">The photo most likely shows the tiled pantry area (505) opening into the open office landscape (504): the refrigerator/kitchenette is on the right, carpeted desks and windows are on the left, and there is a small passage ahead. The camera appears to stand in the pantry near its boundary with the open office, looking diagonally toward the office and interior passage.
</t>
  </si>
  <si>
    <t>T4.7</t>
  </si>
  <si>
    <t>The photo shows a very small office under a sloped roof with low windows on two sides, which best matches one of the wedge-shaped perimeter offices on the right side of the plan. Room 509 is the strongest match because it sits along the slanted facade and has the compact attic-like geometry consistent with the image. The camera appears placed just inside the room near the door/corridor side, looking toward the exterior corner windows.</t>
  </si>
  <si>
    <t>T4.8</t>
  </si>
  <si>
    <t>The query shows a very small attic-like office with a strongly sloped ceiling and two exterior windows meeting at a corner, which best matches one of the wedge-shaped perimeter offices on the right side of the plan. Room 507 is the most likely fit because of its narrow triangular geometry at the roof edge. The camera appears positioned just inside the room near the door side, looking toward the two windowed exterior walls.</t>
  </si>
  <si>
    <t>T4.9</t>
  </si>
  <si>
    <t>The query shows a very small attic-like office with strongly sloped ceilings and two exterior windows meeting at a corner. On the plan, the most likely match is one of the small perimeter offices along the angled east facade; room 507 best fits this wedge-like corner office shape under the roofline. The camera appears to be positioned inside that office near the doorway side, looking toward the exterior corner windows.</t>
  </si>
  <si>
    <t>T4.10</t>
  </si>
  <si>
    <t>The query appears to be taken inside a small office room with a single interior door opening toward a larger open office area that has visible columns. On the floorplan, room 517 (KONTOR) best matches this setup: a compact office directly connected to the larger 504 KONTORSLANDSKAP/open-office zone. The point is placed inside room 517 near its outer side, looking through the doorway toward the open office.</t>
  </si>
  <si>
    <t>T4.11</t>
  </si>
  <si>
    <t>The photo appears to be taken inside a small office room with a single interior door opening into a larger open office area that has visible columns. On the floorplan, room 507 (KONTOR) best matches this: it is a small office opening directly into the large 504 KONTORSLANDSKAP/open area where columns are shown. The camera is likely positioned inside 507 near its outer side, facing the doorway toward the open office.</t>
  </si>
  <si>
    <t>T4.12</t>
  </si>
  <si>
    <t>The photo appears to be taken inside a small office with a freestanding interior column, looking out through a single door into the larger open office area. On the plan, room 517 (KONTOR) best matches this: it is a small office directly opening into the open area/near passage, consistent with the visible doorway and open space beyond. The point is placed inside room 517, near its outer side, looking back toward the doorway into the central area.</t>
  </si>
  <si>
    <t>T4.13</t>
  </si>
  <si>
    <t>The photo shows a small office with several desks directly along an angled exterior window wall. On the plan, the best match is office 508 on the east façade: it has the long slanted glass wall and room size consistent with a multi-desk office. The camera is likely placed inside 508, a few meters back from the windows and looking outward toward the façade.</t>
  </si>
  <si>
    <t>T4.14</t>
  </si>
  <si>
    <t>The query shows a small office with several desks directly along a faceted exterior window wall, so the most likely match is one of the perimeter offices on the right side of the plan rather than the large open office. The angled multi-window facade best matches room 507 KONTOR, and the camera appears to be positioned inside that room a few meters back from the windows, near its interior side.</t>
  </si>
  <si>
    <t>T4.15</t>
  </si>
  <si>
    <t>The photo shows a small office with several desks directly along a faceted exterior window wall. On the plan, the most likely match is room 508 KONTOR on the right side, which has the right size and long angled glazed facade. The camera appears to be inside the room looking toward the exterior windows, placed slightly inward from the center of that office.</t>
  </si>
  <si>
    <t>T4.16</t>
  </si>
  <si>
    <t>The query image most likely shows the meeting room 506 (MÖTESRUM): it has a conference table and chairs by a row of low windows, with an interior partition wall carrying a TV/display. The camera appears to be inside that room near the lower-left side of the space, looking toward the partition wall and the windowed side.</t>
  </si>
  <si>
    <t>T4.17</t>
  </si>
  <si>
    <t>The query shows an open office/lounge area with a meeting table, TV on an internal partition, coat rack, and a long row of low windows. This best matches the large open room 504 KONTORSLANDSKAP next to the diagonal balcony wall, likely near its upper-left side looking toward the windowed edge and internal partition.</t>
  </si>
  <si>
    <t>T4.18</t>
  </si>
  <si>
    <t>The query image most likely shows the meeting room 506 (MÖTESRUM): it has a conference table, many chairs along low perimeter windows, and a TV/display on an interior partition wall. The camera appears to be inside this room near the lower-right side of the space, looking toward the partition wall and across to the windowed edge, so the best floorplan position is in the southeast part of room 506.</t>
  </si>
  <si>
    <t>T4.19</t>
  </si>
  <si>
    <t>The query shows a glass-partitioned office/meeting area with angled walls and open desks beyond, which best matches the distinctive glazed wedge around room 503 PASSAGE adjacent to the large open office 504 KONTORSLANDSKAP. The camera appears to stand just inside that small angled glass area, near the doorway looking into the open office.</t>
  </si>
  <si>
    <t>T4.20</t>
  </si>
  <si>
    <t>The query shows a glass-partitioned meeting room with an angled glass wall and door, immediately adjacent to a larger open office area. On the floorplan, room 506 (MÖTESRUM) has the distinctive faceted shape and sits next to the open office 504/KONTORSLANDSKAP, matching the photo. The camera is most likely just inside room 506 near its southeast side by the glass door, looking outward into the open office.</t>
  </si>
  <si>
    <t>T4.21</t>
  </si>
  <si>
    <t>The query shows a glass-partitioned small meeting/huddle room opening directly into a larger open office with many desks and exterior windows. On the plan, the best match is room 502 HISS beside the large open office 504 KONTORSLANDSKAP and near 506 MÖTESRUM/505 PENTRY. The camera appears to be just inside this small glazed room near its doorway toward the open office.</t>
  </si>
  <si>
    <t>T4.22</t>
  </si>
  <si>
    <t>The query shows a small glazed meeting room with a table and chairs, directly adjacent to an open office area and along the exterior window facade. On the floorplan, room 506 (MÖTESRUM) best matches this enclosed meeting room beside the larger office landscape. The camera appears positioned near the inner corner of that room, looking through the glass partition toward the open office and windows.</t>
  </si>
  <si>
    <t>T4.23</t>
  </si>
  <si>
    <t>The query shows a small glass-walled meeting room with an oval table directly beside exterior windows and looking out into an open office area. On the floorplan, room 506 (MÖTESRUM) best matches this: it is the main enclosed meeting room along the outer window façade and adjacent to the open office area 504. The camera is likely positioned inside 506 near its lower-left/interior side, facing toward the glass wall and windows.</t>
  </si>
  <si>
    <t>T4.24</t>
  </si>
  <si>
    <t>The query shows a small glass-walled meeting room with a table and chairs, directly adjacent to an open office area and along the exterior window facade. On the floorplan, room 506 (MÖTESRUM) best matches this: it is a meeting room on the outer glazed edge and next to the large open office area 504. The point is placed inside 506 near its inner side, representing the camera position looking toward the glass wall and open office.</t>
  </si>
  <si>
    <t>T4.25</t>
  </si>
  <si>
    <t>The query shows a very small enclosed utility/restroom lobby with multiple inward-swinging doors and an "RWC" sign, which best matches the compact sanitary/service cluster around rooms 514 ST and 515 RWC near the southeast corner. The camera is most likely standing inside the tiny hall just west of 515 RWC, facing the double-door storage/utility wall.</t>
  </si>
  <si>
    <t>T4.26</t>
  </si>
  <si>
    <t>The photo appears to be taken in the small restroom/changing anteroom area labeled 515 RWC: the wall sign reads RWC, and the cramped room with double interior doors fits this service room cluster beside 514 ST and 516 ELC. The camera is best placed inside room 515 near its lower-right side, facing toward the double doors on the upper/left side of that room.</t>
  </si>
  <si>
    <t>T4.27</t>
  </si>
  <si>
    <t>The query shows a very small enclosed vestibule/storage-like area with multiple doors, chairs, and a wall-mounted first-aid cabinet. The most likely match on the plan is the small service room cluster around 514 ST / 515 RWC / 516 ELC near the southeast corner. The camera is best placed in the narrow 515 RWC area, looking toward the double doors/wall, close to the doorway on its east side.</t>
  </si>
  <si>
    <t>T4.31</t>
  </si>
  <si>
    <t>The query shows a small corridor with two doors labeled WC and a rounded structural column, which best matches the restroom/service passage near rooms 512 WC, 514 ST, and 515 RWC on the right side of the plan. The camera is likely standing in the narrow passage just west of the WC doors, looking along the curved hall toward the column.</t>
  </si>
  <si>
    <t>T4.32</t>
  </si>
  <si>
    <t>The photo shows a small corridor with two doors labeled WC and a nearby structural column, which best matches the restroom/stair lobby area around rooms 512 WC / 514 ST / 515 RWC / 513 TRAPPHUS on the lower-right of the plan. The camera is most likely positioned in the short passage just west of the WC doors, facing into the curved corridor.</t>
  </si>
  <si>
    <t>T4.33</t>
  </si>
  <si>
    <t>The photo shows a small corridor with two WC-labeled doors and a nearby round column, which best matches the restroom/service area around rooms 512 (WC), 514 (st), and 515 (RWC) near the southeast corner. The camera is most likely in the short passage just west/northwest of room 512, looking into the nook with the WC doors.</t>
  </si>
  <si>
    <t>T4.34</t>
  </si>
  <si>
    <t>The query shows a very small restroom/wash area: sink with mirror and soap dispenser, dark tile floor in the restroom, and a doorway opening to carpeted office space. On the plan, the best match is the small WC/RWC cluster at the lower-right, especially room 515 (RWC) next to 514 ST and 516 ELC. The camera is most likely just inside that restroom facing the doorway toward the corridor/adjacent area.</t>
  </si>
  <si>
    <t>T4.35</t>
  </si>
  <si>
    <t>The query shows a very small washroom/toilet space with a sink and mirror, looking out through the doorway into a carpeted corridor/office area. On the floorplan, the best match is the small WC/RWC cluster near rooms 514–516 in the lower-right. The camera is most likely inside the small restroom just off the passage, positioned near the sink and facing the door.</t>
  </si>
  <si>
    <t>T4.36</t>
  </si>
  <si>
    <t>The query photo shows a very small washroom/toilet area with a sink and mirror, looking out through the door into a carpeted corridor/office area. On the floorplan, the most likely match is the sanitary core around room 515 RWC / 514 ST near rooms 510–517. The camera is best placed inside the small washroom area just by the sink, facing outward toward the corridor.</t>
  </si>
  <si>
    <t>T4.37</t>
  </si>
  <si>
    <t>The query image appears to be a small restroom corner: white and gray painted walls, a wall-mounted dispenser, and the top of a urinal/sanitary fixture. On the floorplan, the best match is room 515 RWC near the lower-right service core. The camera is most likely placed near the upper-left corner inside 515, aimed upward into the corner, so I place the dot just inside that corner of room 515.</t>
  </si>
  <si>
    <t>T4.38</t>
  </si>
  <si>
    <t>The query image shows a small restroom corner with a wall-mounted soap/towel dispenser and dark paper dispenser, matching the WC/RWC service area rather than offices or open spaces. The most likely spot is inside room 515 RWC / adjacent WC cluster on the right side of the plan, near an interior corner. I placed the camera in the restroom area near that corner.</t>
  </si>
  <si>
    <t>T4.39</t>
  </si>
  <si>
    <t xml:space="preserve">The query image appears to be inside a restroom: it shows a wall-mounted dispenser and a dark toilet-paper/hand-towel fixture in a tight corner with finished painted walls. On the floorplan, the most likely match is the WC/RWC service core at the lower-right. I placed the camera in the small WC area near room 512/515, close to an interior corner rather than the larger office spaces.
</t>
  </si>
  <si>
    <t>T5.1</t>
  </si>
  <si>
    <t>The query image most likely shows the pantry/kitchen area labeled 505 PENRTY: visible fridge, microwaves, sink, and coffee setup match that room. The sloped ceiling and doorway into an adjacent office area also fit this location. I placed the camera slightly inside room 505, facing the kitchenette wall and doorway toward the open office.</t>
  </si>
  <si>
    <t>T5.2</t>
  </si>
  <si>
    <t>The query image most likely shows room 505, the pantry: it has a kitchenette with refrigerator, microwaves, sink, and coffee area, matching the labeled PANTRY on the floorplan. The sloped ceiling and doorway into the adjacent open office area fit the pantry’s position next to the larger 504 office landscape. The camera appears to be standing inside the pantry near its outer side, facing the kitchen wall and door toward 504.</t>
  </si>
  <si>
    <t>T5.3</t>
  </si>
  <si>
    <t>The query image most likely shows the kitchenette/pantry area, which matches room 505 labeled 'PENTRY' next to the larger open office area 504. The sloped ceiling and open doorway into the office fit this location. The camera appears to be positioned inside the pantry near its lower-left/central side, facing toward the doorway into the open office.</t>
  </si>
  <si>
    <t>T5.4</t>
  </si>
  <si>
    <t>The photo most likely shows the pantry/open office interface around room 505 PENRTY and the adjacent 504 KONTORSLANDSKAP: tiled pantry/kitchen flooring on the right, carpeted open office with windows on the left, and a small partition wall between them. The camera appears to stand in the pantry area just inside the opening toward the open office, facing toward the windowed office and the nearby passage/door area.</t>
  </si>
  <si>
    <t>T5.5</t>
  </si>
  <si>
    <t>The query shows the pantry/kitchen edge opening into the large open office, with a tiled kitchenette floor on the right, carpeted office area with desks by windows on the left, and a nearby small enclosed room/door. This best matches the boundary between room 505 PENTRY and 504 KONTORSLANDSKAP, near the opening toward the right-side corridor. The camera is likely standing in the pantry/opening area facing into the office.</t>
  </si>
  <si>
    <t>T5.6</t>
  </si>
  <si>
    <t>The photo most likely shows the pantry/open office junction around room 505 PENTRY and 504 KONTORSLANDSKAP. Visible clues are the kitchenette with refrigerator on the right, tiled pantry flooring transitioning to carpeted open office space on the left, and windows/open office desks beyond. The camera appears positioned in the pantry area just east of the opening into the open office, facing roughly toward the windows and interior door.</t>
  </si>
  <si>
    <t>T5.7</t>
  </si>
  <si>
    <t>The query shows a very small attic-like office with strongly sloped ceilings and two exterior windows meeting at a corner, which best matches one of the small perimeter offices in the narrow angled east wing rather than the large open office. The most likely room is office 507 at the corner/angled facade; the camera appears placed just inside that room, looking toward the windows.</t>
  </si>
  <si>
    <t>T5.8</t>
  </si>
  <si>
    <t>The query shows a small attic-like office with a strongly sloped ceiling and two exterior windows meeting at a corner, which best matches room 507 in the narrow angled wing at the top-right of the plan. The camera is likely placed just inside that room, opposite the corner windows and looking outward toward them.</t>
  </si>
  <si>
    <t>T5.9</t>
  </si>
  <si>
    <t>The query shows a small private office under a sloped roof with two exterior windows meeting at a corner and radiators below them. On the floorplan, the best match is room 507 KONTOR at the upper-right façade corner, which has the right compact shape and two angled exterior window walls. The camera is most likely placed just inside the room, a bit back from the corner windows, facing outward.</t>
  </si>
  <si>
    <t>T5.10</t>
  </si>
  <si>
    <t>The photo appears to be taken inside a small office with a single interior door opening into a larger open office area. The visible round column and open workspace beyond the door match the cluster of offices opening into room 504 KONTORSLANDSKAP. The best fit is inside office 507 near its doorway, looking out toward the open office and column.</t>
  </si>
  <si>
    <t>T5.11</t>
  </si>
  <si>
    <t>The photo appears to be taken inside a small office room looking out through a door into the larger open office area (504 KONTORSLANDSKAP). The visible interior column just outside the door strongly matches one of the small enclosed offices bordering the open office, most likely room 507 on the upper-right side. The camera is therefore placed inside room 507 near its inner wall, facing southwest toward the open office.</t>
  </si>
  <si>
    <t>T5.12</t>
  </si>
  <si>
    <t>The photo appears to be taken inside a small office looking out through a door into the larger open office area. The visible white column just outside the doorway strongly matches the columns shown within room 504 (KONTORSLANDSKAP), so the camera is most likely in the adjacent small office 507, positioned just inside its doorway facing toward 504.</t>
  </si>
  <si>
    <t>T5.13</t>
  </si>
  <si>
    <t>The query shows an open-plan office with several desks directly along a long exterior window wall. On the floorplan, the best match is room 504 KONTORSLANDSKAP, the large open office area with a long glazed façade on the upper-right side. The camera is likely positioned a few meters inside this room, facing the windows, near the middle-right portion of 504.</t>
  </si>
  <si>
    <t>T5.14</t>
  </si>
  <si>
    <t>The query shows a small office with several desks directly against a long exterior window wall, matching one of the cellular offices on the right/east façade rather than the open office area. The angled perimeter and row of windows fit room 507 best; the camera appears placed a little inside that room, facing outward toward the façade windows.</t>
  </si>
  <si>
    <t>T5.15</t>
  </si>
  <si>
    <t>The query shows an office room with several desks directly against a long exterior window wall. On the floorplan, the best match is the office strip on the northeast facade, most likely room 507/508 area rather than the open office 504. The camera appears to be inside that perimeter office looking toward the angled exterior windows, so I place it within room 508 near the interior side facing the outer wall.</t>
  </si>
  <si>
    <t>T5.16</t>
  </si>
  <si>
    <t>The query shows a meeting room/lounge area with tables, chairs, a wall-mounted display, coat rack, and a long band of low windows. This best matches room 506 MÖTESRUM at the top-center of the plan. The camera is likely positioned in the lower-right part of that room, looking toward the interior partition wall and toward the windowed side on the right.</t>
  </si>
  <si>
    <t>T5.17</t>
  </si>
  <si>
    <t>The query image most likely shows room 506 MÖTESRUM: it has a conference-style table and chairs, a wall-mounted TV for meetings, and a coat area by the entrance. The windows along the far side match the exterior wall of 506. The camera appears to be positioned inside the meeting room near its lower-central area, facing toward the interior partition and TV.</t>
  </si>
  <si>
    <t>T5.18</t>
  </si>
  <si>
    <t>The query image most likely shows room 506 MÖTESRUM: it has a meeting-room table and chairs, a large wall-mounted display, coat rack, and low windows along the outer angled facade. The camera appears to be inside the meeting room near its lower-left/interior side, looking toward the partition wall and the windowed edge, so the best estimate is a point in the southwest part of room 506.</t>
  </si>
  <si>
    <t>T5.19</t>
  </si>
  <si>
    <t>The query shows a glass-partitioned meeting room inside an open office area with exterior windows on multiple sides. This best matches the small glazed room labeled 503 PASSAGE adjacent to the large open office 504 KONTORSLANDSKAP and near 506/505. The camera appears to be just inside that glazed room near its lower-left side, looking out toward the open office and windows.</t>
  </si>
  <si>
    <t>T5.20</t>
  </si>
  <si>
    <t>The query shows a glass-walled meeting room or enclosed office opening into a larger open-plan office with exterior windows on multiple angled façades. This best matches the glass partition area around room 503 PASSAGE beside the large 504 KONTORSLANDSKAP/open office zone. The camera is most likely just inside or at the edge of that glass-partitioned corner, near the transition from the passage to the open office.</t>
  </si>
  <si>
    <t>T5.21</t>
  </si>
  <si>
    <t>The query shows a glass-partitioned meeting room/open office area with exterior windows on multiple angled sides. This best matches the glazed rooms around 504 KONTORSLANDSKAP and the adjacent 503 PASSAGE/505 PANTRY zone in the northeast office wedge. The camera is most likely just inside the open office next to the angled glass meeting-room enclosure, around the center-left side of room 504 near the glass corner.</t>
  </si>
  <si>
    <t>T5.22</t>
  </si>
  <si>
    <t>The query shows a small glass-walled meeting room with a table and chairs along an exterior window façade, looking into an open office area. This best matches room 506 (MÖTESRUM), which sits on the outer window line and adjoins the open office/meeting area. The camera is most likely placed inside 506 near its lower-left/interior side, facing along the windows and glass partition.</t>
  </si>
  <si>
    <t>T5.23</t>
  </si>
  <si>
    <t>The query shows a small glass-walled meeting room with an oval table placed directly along a façade with multiple windows, looking into a larger open office area. This best matches room 506 (MÖTESRUM), the main meeting room at the top center of the plan with exterior windows on one side and interior glass toward the office landscape. The camera appears to be near the left/west end of that room by the window corner, facing inward through the glass wall.</t>
  </si>
  <si>
    <t>T5.24</t>
  </si>
  <si>
    <t>The query shows a small glass-walled meeting room with a table and chairs, directly beside a larger open office area and along an exterior window facade. On the floorplan, room 506 (MÖTESRUM) best matches this setup: it is a meeting room on the outer window line adjacent to the open office area 504. The camera is likely positioned inside 506 near its lower-left/interior side, looking across the glass partition toward the open office.</t>
  </si>
  <si>
    <t>T5.25</t>
  </si>
  <si>
    <t>The query shows a very small enclosed service room with two interior doors and an 'RWC' sign, plus chairs and wall-mounted first-aid equipment. This best matches room 515 RWC near the lower-right core. The camera is likely just inside that room facing the double doors/wall, so the best position is near the center-left part of room 515.</t>
  </si>
  <si>
    <t>T5.26</t>
  </si>
  <si>
    <t xml:space="preserve"> The query shows a very small enclosed vestibule/service room with multiple inward-opening doors, an RWC sign, and waiting chairs, which best matches the toilet/service core around rooms 514 ST / 515 RWC / 516 ELC near passage 510. The camera is most likely just inside the small RWC-related lobby facing a pair of internal doors, so I place it in that compact area adjacent to 515/514.</t>
  </si>
  <si>
    <t>T5.27</t>
  </si>
  <si>
    <t>The photo appears to be inside a very small service/utility room: tight space, double interior doors ahead, another door to the side, and an 'RWC' label visible on the wall. The floorplan has a small room labeled 515 RWC near the southeast core, matching this function and scale. The camera is likely just inside that room facing toward the interior doors, so the best estimate is near the center-left of room 515.</t>
  </si>
  <si>
    <t>T5.31</t>
  </si>
  <si>
    <t>The query shows a small corridor with two doors labeled WC and a nearby round column, which best matches the WC/service passage area around rooms 512/514/515 next to the stair core on the right side of the plan. The camera is likely standing in the narrow passage just west of the WC doors, looking slightly northwest toward the bend and column.</t>
  </si>
  <si>
    <t>T5.32</t>
  </si>
  <si>
    <t>The photo shows a small corridor niche with two WC-labelled doors and a nearby round column. On the floorplan, the best match is the toilet/service area around rooms 512 WC, 514 ST, and 515 RWC next to stair 513, where a narrow passage and curved wall geometry fit this view. The camera is most likely in the short passage just outside the WC doors, facing into the bend.</t>
  </si>
  <si>
    <t>T5.33</t>
  </si>
  <si>
    <t>The query shows a small corridor with two doors labeled WC and a nearby round column, which best matches the restroom/service passage area around rooms 510 PASSAGE, 512 WC, 514 ST, and 515 RWC on the right side of the plan. The camera is most likely positioned in the passage just west/northwest of the WC doors, looking into the small bend where the corridor narrows.</t>
  </si>
  <si>
    <t>T5.34</t>
  </si>
  <si>
    <t>The query shows a small washroom/handwash area with a sink, mirror, soap dispenser, and doorway opening into the corridor. On the floorplan, the best match is the sanitary area around room 515 (RWC) beside 514 ST and near 512 WC/516 ELC. The camera is most likely just inside the washroom at the sink facing out toward the corridor, so the point is placed within room 515 near its corridor-side edge.</t>
  </si>
  <si>
    <t>T5.35</t>
  </si>
  <si>
    <t>The query photo is taken inside a small restroom/wash area: it shows a sink, mirror, soap dispenser, and a doorway opening to the corridor. On the floorplan, the best match is the restroom area labeled 515 RWC beside 514 ST and near 516 ELC/512 WC. The camera appears to be positioned just inside the restroom by the sink wall, facing out toward the corridor, so the point is placed within room 515 near its corridor-side side.</t>
  </si>
  <si>
    <t>T5.36</t>
  </si>
  <si>
    <t>The query shows a small washroom/handwash area with a sink, mirror, soap dispenser, dark tile floor, and a door opening into a corridor. On the plan, the best match is the restroom zone around room 515 RWC beside 514 ST and near 512 WC/513 TRAPPHUS. The camera is most likely just inside the washroom at the sink facing outward toward the corridor, so I placed the point within 515 RWC near its entrance.</t>
  </si>
  <si>
    <t>T5.37</t>
  </si>
  <si>
    <t>The query shows a small restroom corner with a wall-mounted soap/towel dispenser and the top of a urinal/toilet fixture, which best matches the WC/RWC service area near rooms 512–515. The most likely camera position is inside the larger restroom zone around room 515/RWC, placed near a wall corner.</t>
  </si>
  <si>
    <t>T5.38</t>
  </si>
  <si>
    <t>The query image shows a very small restroom corner: painted wall, soap/towel dispenser, and the top of a urinal/toilet fixture. On the floorplan, the best match is the WC/restroom cluster near rooms 512/514/515 on the right side. The camera is most likely inside the larger WC room labeled 512, positioned near an interior corner rather than in the corridor.</t>
  </si>
  <si>
    <t>T5.39</t>
  </si>
  <si>
    <t>The query image appears to be inside a small restroom: visible are a urinal, paper/towel dispenser, and tight corner walls. On the floorplan, the best match is room 515 (RWC), the small WC/restroom near the lower-right service core. The camera seems placed in a corner of that small room, so I placed the point near the interior corner of 515.</t>
  </si>
  <si>
    <t>Average ED per prompt</t>
  </si>
  <si>
    <t>Pixel</t>
  </si>
  <si>
    <t>Area</t>
  </si>
  <si>
    <t>Semantic</t>
  </si>
  <si>
    <t>Total</t>
  </si>
  <si>
    <t>Raw</t>
  </si>
  <si>
    <t>Average ED per image type and prompt</t>
  </si>
  <si>
    <t>Average ED per prompt and floor</t>
  </si>
  <si>
    <t>Average ED per image format</t>
  </si>
  <si>
    <t>Gray Scale</t>
  </si>
  <si>
    <t>Low Light</t>
  </si>
  <si>
    <t>Wide, Floor 5, Area</t>
  </si>
  <si>
    <t>Average change in values</t>
  </si>
  <si>
    <t>Percentage</t>
  </si>
  <si>
    <t>No of changed groups out of 132</t>
  </si>
  <si>
    <t>1 group = same parameters exactly (image id, prompt, image format, floor)</t>
  </si>
  <si>
    <t>0 m</t>
  </si>
  <si>
    <t xml:space="preserve"> &gt; 1 m</t>
  </si>
  <si>
    <t>&gt; 3 m</t>
  </si>
  <si>
    <t>&gt; 5 m</t>
  </si>
  <si>
    <t>&gt; 10 m</t>
  </si>
  <si>
    <t>Grupp</t>
  </si>
  <si>
    <t>Mean EE</t>
  </si>
  <si>
    <t>Area prompts</t>
  </si>
  <si>
    <t>Pixel prompts</t>
  </si>
  <si>
    <t>Semantic prompts</t>
  </si>
  <si>
    <t>Furnished</t>
  </si>
  <si>
    <t>Unfurnished</t>
  </si>
  <si>
    <t>Wide Lens</t>
  </si>
  <si>
    <t>Double prompts</t>
  </si>
  <si>
    <t>area prompts no pano</t>
  </si>
  <si>
    <t>Diff max-min EE</t>
  </si>
  <si>
    <t>Column 3</t>
  </si>
  <si>
    <t>Column 6</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</si>
</sst>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2.0"/>
      <color rgb="FFFFFFFF"/>
      <name val="Arial"/>
    </font>
    <font>
      <color theme="1"/>
      <name val="Arial"/>
      <scheme val="minor"/>
    </font>
    <font>
      <color theme="1"/>
      <name val="Arial"/>
    </font>
    <font>
      <color rgb="FF434343"/>
      <name val="Roboto"/>
    </font>
    <font>
      <color rgb="FFFFFFFF"/>
      <name val="Roboto"/>
    </font>
    <font>
      <sz val="12.0"/>
      <color theme="1"/>
      <name val="Arial"/>
    </font>
    <font>
      <sz val="10.0"/>
      <color rgb="FF000000"/>
      <name val="Roboto"/>
    </font>
    <font>
      <sz val="12.0"/>
      <color rgb="FF000000"/>
      <name val="Sans-serif"/>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356854"/>
        <bgColor rgb="FF356854"/>
      </patternFill>
    </fill>
    <fill>
      <patternFill patternType="solid">
        <fgColor rgb="FFF9F9F9"/>
        <bgColor rgb="FFF9F9F9"/>
      </patternFill>
    </fill>
  </fills>
  <borders count="5">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284E3F"/>
      </bottom>
    </border>
    <border>
      <left style="thin">
        <color rgb="FF356854"/>
      </left>
      <right style="thin">
        <color rgb="FF356854"/>
      </right>
      <top style="thin">
        <color rgb="FF284E3F"/>
      </top>
      <bottom style="thin">
        <color rgb="FF284E3F"/>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wrapText="1"/>
    </xf>
    <xf borderId="0" fillId="0" fontId="2" numFmtId="0" xfId="0" applyAlignment="1" applyFont="1">
      <alignment readingOrder="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Font="1"/>
    <xf borderId="0" fillId="0" fontId="2" numFmtId="0" xfId="0" applyAlignment="1" applyFont="1">
      <alignment horizontal="left" readingOrder="0" shrinkToFit="0" vertical="center" wrapText="0"/>
    </xf>
    <xf borderId="1" fillId="2" fontId="3" numFmtId="0" xfId="0" applyAlignment="1" applyBorder="1" applyFill="1" applyFont="1">
      <alignment horizontal="left" readingOrder="0" shrinkToFit="0" vertical="center" wrapText="0"/>
    </xf>
    <xf borderId="0" fillId="0" fontId="2" numFmtId="0" xfId="0" applyAlignment="1" applyFont="1">
      <alignment shrinkToFit="0" vertical="center" wrapText="0"/>
    </xf>
    <xf borderId="2" fillId="3" fontId="3" numFmtId="0" xfId="0" applyAlignment="1" applyBorder="1" applyFill="1" applyFont="1">
      <alignment shrinkToFit="0" vertical="center" wrapText="0"/>
    </xf>
    <xf borderId="1" fillId="2" fontId="3" numFmtId="0" xfId="0" applyAlignment="1" applyBorder="1" applyFont="1">
      <alignment shrinkToFit="0" vertical="center" wrapText="0"/>
    </xf>
    <xf borderId="1" fillId="2" fontId="4" numFmtId="0" xfId="0" applyAlignment="1" applyBorder="1" applyFont="1">
      <alignment shrinkToFit="0" vertical="center" wrapText="0"/>
    </xf>
    <xf borderId="2" fillId="3" fontId="3" numFmtId="0" xfId="0" applyAlignment="1" applyBorder="1" applyFont="1">
      <alignment shrinkToFit="0" vertical="center" wrapText="0"/>
    </xf>
    <xf borderId="2" fillId="3" fontId="4" numFmtId="0" xfId="0" applyAlignment="1" applyBorder="1" applyFont="1">
      <alignment shrinkToFit="0" vertical="center" wrapText="0"/>
    </xf>
    <xf borderId="1" fillId="2" fontId="3" numFmtId="0" xfId="0" applyAlignment="1" applyBorder="1" applyFont="1">
      <alignment shrinkToFit="0" vertical="center" wrapText="0"/>
    </xf>
    <xf borderId="1" fillId="2" fontId="4" numFmtId="0" xfId="0" applyAlignment="1" applyBorder="1" applyFont="1">
      <alignment shrinkToFit="0" vertical="center" wrapText="0"/>
    </xf>
    <xf borderId="2" fillId="3" fontId="4" numFmtId="0" xfId="0" applyAlignment="1" applyBorder="1" applyFont="1">
      <alignment shrinkToFit="0" vertical="center" wrapText="0"/>
    </xf>
    <xf borderId="3" fillId="3" fontId="3" numFmtId="0" xfId="0" applyAlignment="1" applyBorder="1" applyFont="1">
      <alignment shrinkToFit="0" vertical="center" wrapText="0"/>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4" fillId="4" fontId="5" numFmtId="0" xfId="0" applyAlignment="1" applyBorder="1" applyFill="1" applyFont="1">
      <alignment horizontal="lef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2" numFmtId="0" xfId="0" applyAlignment="1" applyFont="1">
      <alignment horizontal="center"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6"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5" fontId="7" numFmtId="0" xfId="0" applyAlignment="1" applyFill="1" applyFont="1">
      <alignment readingOrder="0" shrinkToFit="0" vertical="center" wrapText="0"/>
    </xf>
    <xf borderId="0" fillId="5" fontId="8"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readingOrder="0" vertical="bottom"/>
    </xf>
    <xf borderId="0" fillId="0" fontId="2" numFmtId="0" xfId="0" applyFont="1"/>
    <xf borderId="0" fillId="0" fontId="2" numFmtId="3"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Area prompt-style">
      <tableStyleElement dxfId="1" type="headerRow"/>
      <tableStyleElement dxfId="2" type="firstRowStripe"/>
      <tableStyleElement dxfId="3" type="secondRowStripe"/>
      <tableStyleElement dxfId="4" size="0" type="wholeTable"/>
    </tableStyle>
    <tableStyle count="4" pivot="0" name="Pixel prompt-style">
      <tableStyleElement dxfId="1" type="headerRow"/>
      <tableStyleElement dxfId="2" type="firstRowStripe"/>
      <tableStyleElement dxfId="3" type="secondRowStripe"/>
      <tableStyleElement dxfId="4" size="0" type="wholeTable"/>
    </tableStyle>
    <tableStyle count="4" pivot="0" name="Semantic prompt-style">
      <tableStyleElement dxfId="1" type="headerRow"/>
      <tableStyleElement dxfId="2" type="firstRowStripe"/>
      <tableStyleElement dxfId="3" type="secondRowStripe"/>
      <tableStyleElement dxfId="4" size="0" type="wholeTable"/>
    </tableStyle>
    <tableStyle count="4" pivot="0" name="Semantic prompt-style 2">
      <tableStyleElement dxfId="1" type="headerRow"/>
      <tableStyleElement dxfId="2" type="firstRowStripe"/>
      <tableStyleElement dxfId="3" type="secondRowStripe"/>
      <tableStyleElement dxfId="4" size="0" type="wholeTable"/>
    </tableStyle>
    <tableStyle count="4" pivot="0" name="Double prompt-style">
      <tableStyleElement dxfId="1" type="headerRow"/>
      <tableStyleElement dxfId="2" type="firstRowStripe"/>
      <tableStyleElement dxfId="3" type="secondRowStripe"/>
      <tableStyleElement dxfId="4" size="0" type="wholeTable"/>
    </tableStyle>
    <tableStyle count="4" pivot="0" name="Raw-style">
      <tableStyleElement dxfId="1" type="headerRow"/>
      <tableStyleElement dxfId="2" type="firstRowStripe"/>
      <tableStyleElement dxfId="3" type="secondRowStripe"/>
      <tableStyleElement dxfId="4" size="0" type="wholeTable"/>
    </tableStyle>
    <tableStyle count="4" pivot="0" name="Gray Scale-style">
      <tableStyleElement dxfId="1" type="headerRow"/>
      <tableStyleElement dxfId="2" type="firstRowStripe"/>
      <tableStyleElement dxfId="3" type="secondRowStripe"/>
      <tableStyleElement dxfId="4" size="0" type="wholeTable"/>
    </tableStyle>
    <tableStyle count="2" pivot="0" name="Gray Scale-style 2">
      <tableStyleElement dxfId="2" type="firstRowStripe"/>
      <tableStyleElement dxfId="3" type="secondRowStripe"/>
    </tableStyle>
    <tableStyle count="4" pivot="0" name="Low Light-style">
      <tableStyleElement dxfId="1" type="headerRow"/>
      <tableStyleElement dxfId="2" type="firstRowStripe"/>
      <tableStyleElement dxfId="3" type="secondRowStripe"/>
      <tableStyleElement dxfId="4" size="0" type="wholeTable"/>
    </tableStyle>
    <tableStyle count="2" pivot="0" name="Low Light-style 2">
      <tableStyleElement dxfId="2" type="firstRowStripe"/>
      <tableStyleElement dxfId="3" type="secondRowStripe"/>
    </tableStyle>
    <tableStyle count="4" pivot="0" name="Mean EE Stapel-style">
      <tableStyleElement dxfId="1" type="headerRow"/>
      <tableStyleElement dxfId="2" type="firstRowStripe"/>
      <tableStyleElement dxfId="3" type="secondRowStripe"/>
      <tableStyleElement dxfId="4" size="0" type="wholeTable"/>
    </tableStyle>
    <tableStyle count="4" pivot="0" name="Diff max-min EE stape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Mean EE</a:t>
            </a:r>
          </a:p>
        </c:rich>
      </c:tx>
      <c:overlay val="0"/>
    </c:title>
    <c:plotArea>
      <c:layout/>
      <c:barChart>
        <c:barDir val="col"/>
        <c:ser>
          <c:idx val="0"/>
          <c:order val="0"/>
          <c:tx>
            <c:strRef>
              <c:f>'Mean EE Stapel'!$B$1</c:f>
            </c:strRef>
          </c:tx>
          <c:spPr>
            <a:solidFill>
              <a:schemeClr val="accent1"/>
            </a:solidFill>
            <a:ln cmpd="sng">
              <a:solidFill>
                <a:srgbClr val="000000"/>
              </a:solidFill>
            </a:ln>
          </c:spPr>
          <c:cat>
            <c:strRef>
              <c:f>'Mean EE Stapel'!$A$2:$A$4</c:f>
            </c:strRef>
          </c:cat>
          <c:val>
            <c:numRef>
              <c:f>'Mean EE Stapel'!$B$2:$B$4</c:f>
              <c:numCache/>
            </c:numRef>
          </c:val>
        </c:ser>
        <c:axId val="359544459"/>
        <c:axId val="978854531"/>
      </c:barChart>
      <c:catAx>
        <c:axId val="3595444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Prompt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978854531"/>
      </c:catAx>
      <c:valAx>
        <c:axId val="9788545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954445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Mean EE</a:t>
            </a:r>
          </a:p>
        </c:rich>
      </c:tx>
      <c:overlay val="0"/>
    </c:title>
    <c:plotArea>
      <c:layout/>
      <c:barChart>
        <c:barDir val="col"/>
        <c:ser>
          <c:idx val="0"/>
          <c:order val="0"/>
          <c:spPr>
            <a:solidFill>
              <a:schemeClr val="accent1"/>
            </a:solidFill>
            <a:ln cmpd="sng">
              <a:solidFill>
                <a:srgbClr val="000000"/>
              </a:solidFill>
            </a:ln>
          </c:spPr>
          <c:cat>
            <c:strRef>
              <c:f>'Mean EE Stapel'!$A$5:$A$6</c:f>
            </c:strRef>
          </c:cat>
          <c:val>
            <c:numRef>
              <c:f>'Mean EE Stapel'!$B$5:$B$6</c:f>
              <c:numCache/>
            </c:numRef>
          </c:val>
        </c:ser>
        <c:axId val="1769329437"/>
        <c:axId val="271665420"/>
      </c:barChart>
      <c:catAx>
        <c:axId val="17693294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Floor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271665420"/>
      </c:catAx>
      <c:valAx>
        <c:axId val="2716654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932943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Mean EE vs Grupp</a:t>
            </a:r>
          </a:p>
        </c:rich>
      </c:tx>
      <c:overlay val="0"/>
    </c:title>
    <c:plotArea>
      <c:layout/>
      <c:barChart>
        <c:barDir val="col"/>
        <c:ser>
          <c:idx val="0"/>
          <c:order val="0"/>
          <c:spPr>
            <a:solidFill>
              <a:schemeClr val="accent1"/>
            </a:solidFill>
            <a:ln cmpd="sng">
              <a:solidFill>
                <a:srgbClr val="000000"/>
              </a:solidFill>
            </a:ln>
          </c:spPr>
          <c:cat>
            <c:strRef>
              <c:f>'Mean EE Stapel'!$A$7:$A$8</c:f>
            </c:strRef>
          </c:cat>
          <c:val>
            <c:numRef>
              <c:f>'Mean EE Stapel'!$B$7:$B$8</c:f>
              <c:numCache/>
            </c:numRef>
          </c:val>
        </c:ser>
        <c:axId val="96434881"/>
        <c:axId val="1672482795"/>
      </c:barChart>
      <c:catAx>
        <c:axId val="964348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Image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672482795"/>
      </c:catAx>
      <c:valAx>
        <c:axId val="16724827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43488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Mean EE vs Grupp</a:t>
            </a:r>
          </a:p>
        </c:rich>
      </c:tx>
      <c:overlay val="0"/>
    </c:title>
    <c:plotArea>
      <c:layout/>
      <c:barChart>
        <c:barDir val="col"/>
        <c:ser>
          <c:idx val="0"/>
          <c:order val="0"/>
          <c:spPr>
            <a:solidFill>
              <a:schemeClr val="accent1"/>
            </a:solidFill>
            <a:ln cmpd="sng">
              <a:solidFill>
                <a:srgbClr val="000000"/>
              </a:solidFill>
            </a:ln>
          </c:spPr>
          <c:cat>
            <c:strRef>
              <c:f>'Mean EE Stapel'!$A$9:$A$11</c:f>
            </c:strRef>
          </c:cat>
          <c:val>
            <c:numRef>
              <c:f>'Mean EE Stapel'!$B$9:$B$11</c:f>
              <c:numCache/>
            </c:numRef>
          </c:val>
        </c:ser>
        <c:axId val="729810113"/>
        <c:axId val="1724795957"/>
      </c:barChart>
      <c:catAx>
        <c:axId val="7298101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Image Format</a:t>
                </a:r>
              </a:p>
            </c:rich>
          </c:tx>
          <c:overlay val="0"/>
        </c:title>
        <c:numFmt formatCode="General" sourceLinked="1"/>
        <c:majorTickMark val="none"/>
        <c:minorTickMark val="none"/>
        <c:spPr/>
        <c:txPr>
          <a:bodyPr/>
          <a:lstStyle/>
          <a:p>
            <a:pPr lvl="0">
              <a:defRPr b="0">
                <a:solidFill>
                  <a:srgbClr val="000000"/>
                </a:solidFill>
                <a:latin typeface="+mn-lt"/>
              </a:defRPr>
            </a:pPr>
          </a:p>
        </c:txPr>
        <c:crossAx val="1724795957"/>
      </c:catAx>
      <c:valAx>
        <c:axId val="1724795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981011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Mean EE vs Grupp</a:t>
            </a:r>
          </a:p>
        </c:rich>
      </c:tx>
      <c:overlay val="0"/>
    </c:title>
    <c:plotArea>
      <c:layout/>
      <c:barChart>
        <c:barDir val="col"/>
        <c:ser>
          <c:idx val="0"/>
          <c:order val="0"/>
          <c:spPr>
            <a:solidFill>
              <a:schemeClr val="accent1"/>
            </a:solidFill>
            <a:ln cmpd="sng">
              <a:solidFill>
                <a:srgbClr val="000000"/>
              </a:solidFill>
            </a:ln>
          </c:spPr>
          <c:cat>
            <c:strRef>
              <c:f>'Mean EE Stapel'!$A$12:$A$13</c:f>
            </c:strRef>
          </c:cat>
          <c:val>
            <c:numRef>
              <c:f>'Mean EE Stapel'!$B$12:$B$13</c:f>
              <c:numCache/>
            </c:numRef>
          </c:val>
        </c:ser>
        <c:axId val="876548040"/>
        <c:axId val="1769362264"/>
      </c:barChart>
      <c:catAx>
        <c:axId val="8765480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Grupp</a:t>
                </a:r>
              </a:p>
            </c:rich>
          </c:tx>
          <c:overlay val="0"/>
        </c:title>
        <c:numFmt formatCode="General" sourceLinked="1"/>
        <c:majorTickMark val="none"/>
        <c:minorTickMark val="none"/>
        <c:spPr/>
        <c:txPr>
          <a:bodyPr/>
          <a:lstStyle/>
          <a:p>
            <a:pPr lvl="0">
              <a:defRPr b="0">
                <a:solidFill>
                  <a:srgbClr val="000000"/>
                </a:solidFill>
                <a:latin typeface="+mn-lt"/>
              </a:defRPr>
            </a:pPr>
          </a:p>
        </c:txPr>
        <c:crossAx val="1769362264"/>
      </c:catAx>
      <c:valAx>
        <c:axId val="17693622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654804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Diff max-min EE</a:t>
            </a:r>
          </a:p>
        </c:rich>
      </c:tx>
      <c:overlay val="0"/>
    </c:title>
    <c:plotArea>
      <c:layout/>
      <c:barChart>
        <c:barDir val="col"/>
        <c:ser>
          <c:idx val="0"/>
          <c:order val="0"/>
          <c:tx>
            <c:strRef>
              <c:f>'Diff max-min EE stapel'!$B$1</c:f>
            </c:strRef>
          </c:tx>
          <c:spPr>
            <a:solidFill>
              <a:schemeClr val="accent1"/>
            </a:solidFill>
            <a:ln cmpd="sng">
              <a:solidFill>
                <a:srgbClr val="000000"/>
              </a:solidFill>
            </a:ln>
          </c:spPr>
          <c:cat>
            <c:strRef>
              <c:f>'Diff max-min EE stapel'!$A$2:$A$4</c:f>
            </c:strRef>
          </c:cat>
          <c:val>
            <c:numRef>
              <c:f>'Diff max-min EE stapel'!$B$2:$B$4</c:f>
              <c:numCache/>
            </c:numRef>
          </c:val>
        </c:ser>
        <c:axId val="191031841"/>
        <c:axId val="153695090"/>
      </c:barChart>
      <c:catAx>
        <c:axId val="1910318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Grupp</a:t>
                </a:r>
              </a:p>
            </c:rich>
          </c:tx>
          <c:overlay val="0"/>
        </c:title>
        <c:numFmt formatCode="General" sourceLinked="1"/>
        <c:majorTickMark val="none"/>
        <c:minorTickMark val="none"/>
        <c:spPr/>
        <c:txPr>
          <a:bodyPr/>
          <a:lstStyle/>
          <a:p>
            <a:pPr lvl="0">
              <a:defRPr b="0">
                <a:solidFill>
                  <a:srgbClr val="000000"/>
                </a:solidFill>
                <a:latin typeface="+mn-lt"/>
              </a:defRPr>
            </a:pPr>
          </a:p>
        </c:txPr>
        <c:crossAx val="153695090"/>
      </c:catAx>
      <c:valAx>
        <c:axId val="1536950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Diff max-min 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03184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Diff max-min EE vs Grupp</a:t>
            </a:r>
          </a:p>
        </c:rich>
      </c:tx>
      <c:overlay val="0"/>
    </c:title>
    <c:plotArea>
      <c:layout/>
      <c:barChart>
        <c:barDir val="col"/>
        <c:ser>
          <c:idx val="0"/>
          <c:order val="0"/>
          <c:spPr>
            <a:solidFill>
              <a:schemeClr val="accent1"/>
            </a:solidFill>
            <a:ln cmpd="sng">
              <a:solidFill>
                <a:srgbClr val="000000"/>
              </a:solidFill>
            </a:ln>
          </c:spPr>
          <c:cat>
            <c:strRef>
              <c:f>'Diff max-min EE stapel'!$A$5:$A$6</c:f>
            </c:strRef>
          </c:cat>
          <c:val>
            <c:numRef>
              <c:f>'Diff max-min EE stapel'!$B$5:$B$6</c:f>
              <c:numCache/>
            </c:numRef>
          </c:val>
        </c:ser>
        <c:axId val="311471343"/>
        <c:axId val="1233677264"/>
      </c:barChart>
      <c:catAx>
        <c:axId val="3114713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Grupp</a:t>
                </a:r>
              </a:p>
            </c:rich>
          </c:tx>
          <c:overlay val="0"/>
        </c:title>
        <c:numFmt formatCode="General" sourceLinked="1"/>
        <c:majorTickMark val="none"/>
        <c:minorTickMark val="none"/>
        <c:spPr/>
        <c:txPr>
          <a:bodyPr/>
          <a:lstStyle/>
          <a:p>
            <a:pPr lvl="0">
              <a:defRPr b="0">
                <a:solidFill>
                  <a:srgbClr val="000000"/>
                </a:solidFill>
                <a:latin typeface="+mn-lt"/>
              </a:defRPr>
            </a:pPr>
          </a:p>
        </c:txPr>
        <c:crossAx val="1233677264"/>
      </c:catAx>
      <c:valAx>
        <c:axId val="12336772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Diff max-min 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147134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Diff max-min EE vs Grupp</a:t>
            </a:r>
          </a:p>
        </c:rich>
      </c:tx>
      <c:overlay val="0"/>
    </c:title>
    <c:plotArea>
      <c:layout/>
      <c:barChart>
        <c:barDir val="col"/>
        <c:ser>
          <c:idx val="0"/>
          <c:order val="0"/>
          <c:spPr>
            <a:solidFill>
              <a:schemeClr val="accent1"/>
            </a:solidFill>
            <a:ln cmpd="sng">
              <a:solidFill>
                <a:srgbClr val="000000"/>
              </a:solidFill>
            </a:ln>
          </c:spPr>
          <c:cat>
            <c:strRef>
              <c:f>'Diff max-min EE stapel'!$A$7:$A$8</c:f>
            </c:strRef>
          </c:cat>
          <c:val>
            <c:numRef>
              <c:f>'Diff max-min EE stapel'!$B$7:$B$8</c:f>
              <c:numCache/>
            </c:numRef>
          </c:val>
        </c:ser>
        <c:axId val="46394073"/>
        <c:axId val="1706279979"/>
      </c:barChart>
      <c:catAx>
        <c:axId val="463940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Grupp</a:t>
                </a:r>
              </a:p>
            </c:rich>
          </c:tx>
          <c:overlay val="0"/>
        </c:title>
        <c:numFmt formatCode="General" sourceLinked="1"/>
        <c:majorTickMark val="none"/>
        <c:minorTickMark val="none"/>
        <c:spPr/>
        <c:txPr>
          <a:bodyPr/>
          <a:lstStyle/>
          <a:p>
            <a:pPr lvl="0">
              <a:defRPr b="0">
                <a:solidFill>
                  <a:srgbClr val="000000"/>
                </a:solidFill>
                <a:latin typeface="+mn-lt"/>
              </a:defRPr>
            </a:pPr>
          </a:p>
        </c:txPr>
        <c:crossAx val="1706279979"/>
      </c:catAx>
      <c:valAx>
        <c:axId val="1706279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Diff max-min 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394073"/>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Diff max-min EE vs Grupp</a:t>
            </a:r>
          </a:p>
        </c:rich>
      </c:tx>
      <c:overlay val="0"/>
    </c:title>
    <c:plotArea>
      <c:layout/>
      <c:barChart>
        <c:barDir val="col"/>
        <c:ser>
          <c:idx val="0"/>
          <c:order val="0"/>
          <c:spPr>
            <a:solidFill>
              <a:schemeClr val="accent1"/>
            </a:solidFill>
            <a:ln cmpd="sng">
              <a:solidFill>
                <a:srgbClr val="000000"/>
              </a:solidFill>
            </a:ln>
          </c:spPr>
          <c:cat>
            <c:strRef>
              <c:f>'Diff max-min EE stapel'!$A$9:$A$11</c:f>
            </c:strRef>
          </c:cat>
          <c:val>
            <c:numRef>
              <c:f>'Diff max-min EE stapel'!$B$9:$B$11</c:f>
              <c:numCache/>
            </c:numRef>
          </c:val>
        </c:ser>
        <c:axId val="811894717"/>
        <c:axId val="1074120947"/>
      </c:barChart>
      <c:catAx>
        <c:axId val="8118947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Grupp</a:t>
                </a:r>
              </a:p>
            </c:rich>
          </c:tx>
          <c:overlay val="0"/>
        </c:title>
        <c:numFmt formatCode="General" sourceLinked="1"/>
        <c:majorTickMark val="none"/>
        <c:minorTickMark val="none"/>
        <c:spPr/>
        <c:txPr>
          <a:bodyPr/>
          <a:lstStyle/>
          <a:p>
            <a:pPr lvl="0">
              <a:defRPr b="0">
                <a:solidFill>
                  <a:srgbClr val="000000"/>
                </a:solidFill>
                <a:latin typeface="+mn-lt"/>
              </a:defRPr>
            </a:pPr>
          </a:p>
        </c:txPr>
        <c:crossAx val="1074120947"/>
      </c:catAx>
      <c:valAx>
        <c:axId val="1074120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Diff max-min 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1894717"/>
      </c:valAx>
    </c:plotArea>
    <c:legend>
      <c:legendPos val="r"/>
      <c:overlay val="0"/>
      <c:txPr>
        <a:bodyPr/>
        <a:lstStyle/>
        <a:p>
          <a:pPr lvl="0">
            <a:defRPr b="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1</xdr:row>
      <xdr:rowOff>219075</xdr:rowOff>
    </xdr:from>
    <xdr:ext cx="4352925" cy="26860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762000</xdr:colOff>
      <xdr:row>1</xdr:row>
      <xdr:rowOff>0</xdr:rowOff>
    </xdr:from>
    <xdr:ext cx="4295775" cy="26860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314325</xdr:colOff>
      <xdr:row>10</xdr:row>
      <xdr:rowOff>238125</xdr:rowOff>
    </xdr:from>
    <xdr:ext cx="3276600" cy="20288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114300</xdr:colOff>
      <xdr:row>19</xdr:row>
      <xdr:rowOff>152400</xdr:rowOff>
    </xdr:from>
    <xdr:ext cx="3324225" cy="20288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695325</xdr:colOff>
      <xdr:row>13</xdr:row>
      <xdr:rowOff>104775</xdr:rowOff>
    </xdr:from>
    <xdr:ext cx="3562350" cy="22098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333375</xdr:colOff>
      <xdr:row>0</xdr:row>
      <xdr:rowOff>209550</xdr:rowOff>
    </xdr:from>
    <xdr:ext cx="3705225" cy="22955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466725</xdr:colOff>
      <xdr:row>0</xdr:row>
      <xdr:rowOff>228600</xdr:rowOff>
    </xdr:from>
    <xdr:ext cx="3629025" cy="225742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276225</xdr:colOff>
      <xdr:row>10</xdr:row>
      <xdr:rowOff>95250</xdr:rowOff>
    </xdr:from>
    <xdr:ext cx="3829050" cy="2381250"/>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28575</xdr:colOff>
      <xdr:row>12</xdr:row>
      <xdr:rowOff>76200</xdr:rowOff>
    </xdr:from>
    <xdr:ext cx="3905250" cy="2381250"/>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L109" displayName="Table1" name="Table1" id="1">
  <tableColumns count="12">
    <tableColumn name="Id" id="1"/>
    <tableColumn name="Floor" id="2"/>
    <tableColumn name="Image id" id="3"/>
    <tableColumn name="Image Type" id="4"/>
    <tableColumn name="True x" id="5"/>
    <tableColumn name="True y" id="6"/>
    <tableColumn name="Predicted x" id="7"/>
    <tableColumn name="Predicted y" id="8"/>
    <tableColumn name="Euclidean error" id="9"/>
    <tableColumn name="Reasoning" id="10"/>
    <tableColumn name="Floor &amp; Image id" id="11"/>
    <tableColumn name="Column 12" id="12"/>
  </tableColumns>
  <tableStyleInfo name="Area prompt-style" showColumnStripes="0" showFirstColumn="1" showLastColumn="1" showRowStripes="1"/>
</table>
</file>

<file path=xl/tables/table2.xml><?xml version="1.0" encoding="utf-8"?>
<table xmlns="http://schemas.openxmlformats.org/spreadsheetml/2006/main" ref="A1:V109" displayName="Table1_2" name="Table1_2" id="2">
  <tableColumns count="22">
    <tableColumn name="Id" id="1"/>
    <tableColumn name="Floor" id="2"/>
    <tableColumn name="Image id" id="3"/>
    <tableColumn name="Image Type" id="4"/>
    <tableColumn name="True x" id="5"/>
    <tableColumn name="True y" id="6"/>
    <tableColumn name="Predicted x" id="7"/>
    <tableColumn name="Predicted y" id="8"/>
    <tableColumn name="Euclidean error" id="9"/>
    <tableColumn name="Reasoning" id="10"/>
    <tableColumn name="Floor &amp; Image id" id="11"/>
    <tableColumn name="Column 2" id="12"/>
    <tableColumn name="Unique floor &amp; image" id="13"/>
    <tableColumn name="Column 4" id="14"/>
    <tableColumn name="Column 5" id="15"/>
    <tableColumn name="Notes" id="16"/>
    <tableColumn name="Column 17" id="17"/>
    <tableColumn name="Column 18" id="18"/>
    <tableColumn name="Column 19" id="19"/>
    <tableColumn name="Column 21" id="20"/>
    <tableColumn name="Column 1" id="21"/>
    <tableColumn name="Column 20" id="22"/>
  </tableColumns>
  <tableStyleInfo name="Pixel prompt-style" showColumnStripes="0" showFirstColumn="1" showLastColumn="1" showRowStripes="1"/>
</table>
</file>

<file path=xl/tables/table3.xml><?xml version="1.0" encoding="utf-8"?>
<table xmlns="http://schemas.openxmlformats.org/spreadsheetml/2006/main" ref="A1:K109" displayName="Table1_3" name="Table1_3" id="3">
  <tableColumns count="11">
    <tableColumn name="Id" id="1"/>
    <tableColumn name="Floor" id="2"/>
    <tableColumn name="Image id" id="3"/>
    <tableColumn name="Image Type" id="4"/>
    <tableColumn name="True x" id="5"/>
    <tableColumn name="True y" id="6"/>
    <tableColumn name="Predicted x" id="7"/>
    <tableColumn name="Predicted y" id="8"/>
    <tableColumn name="Euclidean error" id="9"/>
    <tableColumn name="Reasoning" id="10"/>
    <tableColumn name="Floor &amp; Image id" id="11"/>
  </tableColumns>
  <tableStyleInfo name="Semantic prompt-style" showColumnStripes="0" showFirstColumn="1" showLastColumn="1" showRowStripes="1"/>
</table>
</file>

<file path=xl/tables/table4.xml><?xml version="1.0" encoding="utf-8"?>
<table xmlns="http://schemas.openxmlformats.org/spreadsheetml/2006/main" ref="M1:S109" displayName="Table2" name="Table2" id="4">
  <tableColumns count="7">
    <tableColumn name="Unique floor &amp; image" id="1"/>
    <tableColumn name="Max EE" id="2"/>
    <tableColumn name="Min EE" id="3"/>
    <tableColumn name="Diff between max and min" id="4"/>
    <tableColumn name="Column 5" id="5"/>
    <tableColumn name="No of changed groups" id="6"/>
    <tableColumn name="Percentage of changed groups" id="7"/>
  </tableColumns>
  <tableStyleInfo name="Semantic prompt-style 2" showColumnStripes="0" showFirstColumn="1" showLastColumn="1" showRowStripes="1"/>
</table>
</file>

<file path=xl/tables/table5.xml><?xml version="1.0" encoding="utf-8"?>
<table xmlns="http://schemas.openxmlformats.org/spreadsheetml/2006/main" ref="A1:J37" displayName="Table5" name="Table5" id="5">
  <tableColumns count="10">
    <tableColumn name="Id" id="1"/>
    <tableColumn name="Floor" id="2"/>
    <tableColumn name="Position" id="3"/>
    <tableColumn name="True x" id="4"/>
    <tableColumn name="True y" id="5"/>
    <tableColumn name="Predicted x" id="6"/>
    <tableColumn name="Predicted y" id="7"/>
    <tableColumn name="Euclidean error" id="8"/>
    <tableColumn name="Reasoning" id="9"/>
    <tableColumn name="Column 1" id="10"/>
  </tableColumns>
  <tableStyleInfo name="Double prompt-style" showColumnStripes="0" showFirstColumn="1" showLastColumn="1" showRowStripes="1"/>
</table>
</file>

<file path=xl/tables/table6.xml><?xml version="1.0" encoding="utf-8"?>
<table xmlns="http://schemas.openxmlformats.org/spreadsheetml/2006/main" ref="A1:J37" displayName="Table1_4" name="Table1_4" id="6">
  <tableColumns count="10">
    <tableColumn name="Id" id="1"/>
    <tableColumn name="Floor" id="2"/>
    <tableColumn name="Image id" id="3"/>
    <tableColumn name="Image Type" id="4"/>
    <tableColumn name="True x" id="5"/>
    <tableColumn name="True y" id="6"/>
    <tableColumn name="Predicted x" id="7"/>
    <tableColumn name="Predicted y" id="8"/>
    <tableColumn name="Euclidean error" id="9"/>
    <tableColumn name="Reasoning" id="10"/>
  </tableColumns>
  <tableStyleInfo name="Raw-style" showColumnStripes="0" showFirstColumn="1" showLastColumn="1" showRowStripes="1"/>
</table>
</file>

<file path=xl/tables/table7.xml><?xml version="1.0" encoding="utf-8"?>
<table xmlns="http://schemas.openxmlformats.org/spreadsheetml/2006/main" ref="A1:K37" displayName="Table1_5" name="Table1_5" id="7">
  <tableColumns count="11">
    <tableColumn name="Id" id="1"/>
    <tableColumn name="Floor" id="2"/>
    <tableColumn name="Image id" id="3"/>
    <tableColumn name="Image Type" id="4"/>
    <tableColumn name="True x" id="5"/>
    <tableColumn name="True y" id="6"/>
    <tableColumn name="Predicted x" id="7"/>
    <tableColumn name="Predicted y" id="8"/>
    <tableColumn name="Euclidean error" id="9"/>
    <tableColumn name="Reasoning" id="10"/>
    <tableColumn name="Column 1" id="11"/>
  </tableColumns>
  <tableStyleInfo name="Gray Scale-style" showColumnStripes="0" showFirstColumn="1" showLastColumn="1" showRowStripes="1"/>
</table>
</file>

<file path=xl/tables/table8.xml><?xml version="1.0" encoding="utf-8"?>
<table xmlns="http://schemas.openxmlformats.org/spreadsheetml/2006/main" headerRowCount="0" ref="R2:S6" displayName="Table_1" name="Table_1" id="8">
  <tableColumns count="2">
    <tableColumn name="Column1" id="1"/>
    <tableColumn name="Column2" id="2"/>
  </tableColumns>
  <tableStyleInfo name="Gray Scale-style 2" showColumnStripes="0" showFirstColumn="1" showLastColumn="1" showRowStripes="1"/>
</table>
</file>

<file path=xl/tables/table9.xml><?xml version="1.0" encoding="utf-8"?>
<table xmlns="http://schemas.openxmlformats.org/spreadsheetml/2006/main" ref="A1:K37" displayName="Table1_6" name="Table1_6" id="9">
  <tableColumns count="11">
    <tableColumn name="Id" id="1"/>
    <tableColumn name="Floor" id="2"/>
    <tableColumn name="Image id" id="3"/>
    <tableColumn name="Image Type" id="4"/>
    <tableColumn name="True x" id="5"/>
    <tableColumn name="True y" id="6"/>
    <tableColumn name="Predicted x" id="7"/>
    <tableColumn name="Predicted y" id="8"/>
    <tableColumn name="Euclidean error" id="9"/>
    <tableColumn name="Reasoning" id="10"/>
    <tableColumn name="Column 1" id="11"/>
  </tableColumns>
  <tableStyleInfo name="Low Light-style" showColumnStripes="0" showFirstColumn="1" showLastColumn="1" showRowStripes="1"/>
</table>
</file>

<file path=xl/tables/table10.xml><?xml version="1.0" encoding="utf-8"?>
<table xmlns="http://schemas.openxmlformats.org/spreadsheetml/2006/main" headerRowCount="0" ref="R2:S6" displayName="Table_2" name="Table_2" id="10">
  <tableColumns count="2">
    <tableColumn name="Column1" id="1"/>
    <tableColumn name="Column2" id="2"/>
  </tableColumns>
  <tableStyleInfo name="Low Light-style 2" showColumnStripes="0" showFirstColumn="1" showLastColumn="1" showRowStripes="1"/>
</table>
</file>

<file path=xl/tables/table11.xml><?xml version="1.0" encoding="utf-8"?>
<table xmlns="http://schemas.openxmlformats.org/spreadsheetml/2006/main" ref="A1:B13" displayName="Table3" name="Table3" id="11">
  <tableColumns count="2">
    <tableColumn name="Grupp" id="1"/>
    <tableColumn name="Mean EE" id="2"/>
  </tableColumns>
  <tableStyleInfo name="Mean EE Stapel-style" showColumnStripes="0" showFirstColumn="1" showLastColumn="1" showRowStripes="1"/>
</table>
</file>

<file path=xl/tables/table12.xml><?xml version="1.0" encoding="utf-8"?>
<table xmlns="http://schemas.openxmlformats.org/spreadsheetml/2006/main" ref="A1:F11" displayName="Table4" name="Table4" id="12">
  <tableColumns count="6">
    <tableColumn name="Grupp" id="1"/>
    <tableColumn name="Diff max-min EE" id="2"/>
    <tableColumn name="Column 3" id="3"/>
    <tableColumn name="Column 4" id="4"/>
    <tableColumn name="Column 5" id="5"/>
    <tableColumn name="Column 6" id="6"/>
  </tableColumns>
  <tableStyleInfo name="Diff max-min EE stape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7.xml"/><Relationship Id="rId5"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9.xml"/><Relationship Id="rId5"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22.63"/>
    <col customWidth="1" min="8" max="8" width="18.38"/>
    <col customWidth="1" min="9" max="9" width="24.25"/>
    <col customWidth="1" min="10" max="10" width="27.38"/>
    <col customWidth="1" min="11" max="11" width="19.63"/>
  </cols>
  <sheetData>
    <row r="1" ht="22.5" customHeight="1">
      <c r="A1" s="1" t="s">
        <v>0</v>
      </c>
      <c r="B1" s="2" t="s">
        <v>1</v>
      </c>
      <c r="C1" s="2" t="s">
        <v>2</v>
      </c>
      <c r="D1" s="2" t="s">
        <v>3</v>
      </c>
      <c r="E1" s="2" t="s">
        <v>4</v>
      </c>
      <c r="F1" s="2" t="s">
        <v>5</v>
      </c>
      <c r="G1" s="2" t="s">
        <v>6</v>
      </c>
      <c r="H1" s="2" t="s">
        <v>7</v>
      </c>
      <c r="I1" s="3" t="s">
        <v>8</v>
      </c>
      <c r="J1" s="3" t="s">
        <v>9</v>
      </c>
      <c r="K1" s="4" t="s">
        <v>10</v>
      </c>
      <c r="L1" s="4" t="s">
        <v>11</v>
      </c>
      <c r="M1" s="5" t="s">
        <v>12</v>
      </c>
      <c r="N1" s="6" t="s">
        <v>13</v>
      </c>
      <c r="O1" s="6" t="s">
        <v>14</v>
      </c>
      <c r="P1" s="6" t="s">
        <v>15</v>
      </c>
      <c r="R1" s="6" t="s">
        <v>16</v>
      </c>
      <c r="S1" s="6" t="s">
        <v>17</v>
      </c>
    </row>
    <row r="2" ht="22.5" customHeight="1">
      <c r="A2" s="7" t="s">
        <v>18</v>
      </c>
      <c r="B2" s="8" t="s">
        <v>19</v>
      </c>
      <c r="C2" s="9">
        <v>1.1</v>
      </c>
      <c r="D2" s="8" t="s">
        <v>20</v>
      </c>
      <c r="E2" s="7">
        <v>39.0</v>
      </c>
      <c r="F2" s="7">
        <v>15.0</v>
      </c>
      <c r="G2" s="7">
        <v>37.0</v>
      </c>
      <c r="H2" s="10">
        <v>17.0</v>
      </c>
      <c r="I2" s="7">
        <v>2.828</v>
      </c>
      <c r="J2" s="10" t="s">
        <v>21</v>
      </c>
      <c r="K2" s="11" t="str">
        <f t="shared" ref="K2:K109" si="1">B2&amp;"|"&amp;C2</f>
        <v>Floor 5|1.1</v>
      </c>
      <c r="L2" s="11"/>
      <c r="M2" s="12" t="str">
        <f t="array" ref="M2:M37">UNIQUE(K2:K109)</f>
        <v>Floor 5|1.1</v>
      </c>
      <c r="N2" s="12">
        <f>IFERROR(__xludf.DUMMYFUNCTION("MIN(FILTER($I$2:$I109,$K$2:$K109=M2))"),2.828)</f>
        <v>2.828</v>
      </c>
      <c r="O2" s="12">
        <f>IFERROR(__xludf.DUMMYFUNCTION("MAX(FILTER($I$2:$I109,$K$2:$K109=M2))"),2.828)</f>
        <v>2.828</v>
      </c>
      <c r="P2" s="12">
        <f t="shared" ref="P2:P37" si="2">O2-N2</f>
        <v>0</v>
      </c>
      <c r="R2" s="12">
        <f>COUNTIF(P2:P109,"&gt;0")</f>
        <v>35</v>
      </c>
      <c r="S2" s="12">
        <f>COUNTIF(P2:P109,"&gt;0")/COUNTA(M2:M109)</f>
        <v>0.9722222222</v>
      </c>
    </row>
    <row r="3" ht="22.5" customHeight="1">
      <c r="A3" s="7" t="s">
        <v>22</v>
      </c>
      <c r="B3" s="8" t="s">
        <v>19</v>
      </c>
      <c r="C3" s="9">
        <v>1.1</v>
      </c>
      <c r="D3" s="8" t="s">
        <v>20</v>
      </c>
      <c r="E3" s="7">
        <v>39.0</v>
      </c>
      <c r="F3" s="7">
        <v>15.0</v>
      </c>
      <c r="G3" s="7">
        <v>37.0</v>
      </c>
      <c r="H3" s="10">
        <v>17.0</v>
      </c>
      <c r="I3" s="7">
        <v>2.828</v>
      </c>
      <c r="J3" s="10" t="s">
        <v>23</v>
      </c>
      <c r="K3" s="11" t="str">
        <f t="shared" si="1"/>
        <v>Floor 5|1.1</v>
      </c>
      <c r="L3" s="11"/>
      <c r="M3" s="12" t="s">
        <v>24</v>
      </c>
      <c r="N3" s="12">
        <f>IFERROR(__xludf.DUMMYFUNCTION("MIN(FILTER($I$2:$I109,$K$2:$K109=M3))"),2.828)</f>
        <v>2.828</v>
      </c>
      <c r="O3" s="12">
        <f>IFERROR(__xludf.DUMMYFUNCTION("MAX(FILTER($I$2:$I109,$K$2:$K109=M3))"),5.657)</f>
        <v>5.657</v>
      </c>
      <c r="P3" s="12">
        <f t="shared" si="2"/>
        <v>2.829</v>
      </c>
      <c r="R3" s="12">
        <f>COUNTIF(P2:P109,"&gt;1")</f>
        <v>27</v>
      </c>
      <c r="S3" s="12">
        <f>COUNTIF(P2:P109,"&gt;1")/COUNTA(M2:M109)</f>
        <v>0.75</v>
      </c>
    </row>
    <row r="4" ht="22.5" customHeight="1">
      <c r="A4" s="7" t="s">
        <v>25</v>
      </c>
      <c r="B4" s="8" t="s">
        <v>19</v>
      </c>
      <c r="C4" s="9">
        <v>1.1</v>
      </c>
      <c r="D4" s="8" t="s">
        <v>20</v>
      </c>
      <c r="E4" s="7">
        <v>39.0</v>
      </c>
      <c r="F4" s="7">
        <v>15.0</v>
      </c>
      <c r="G4" s="7">
        <v>37.0</v>
      </c>
      <c r="H4" s="10">
        <v>17.0</v>
      </c>
      <c r="I4" s="7">
        <v>2.828</v>
      </c>
      <c r="J4" s="10" t="s">
        <v>26</v>
      </c>
      <c r="K4" s="11" t="str">
        <f t="shared" si="1"/>
        <v>Floor 5|1.1</v>
      </c>
      <c r="L4" s="11"/>
      <c r="M4" s="12" t="s">
        <v>27</v>
      </c>
      <c r="N4" s="12">
        <f>IFERROR(__xludf.DUMMYFUNCTION("MIN(FILTER($I$2:$I109,$K$2:$K109=M4))"),2.828)</f>
        <v>2.828</v>
      </c>
      <c r="O4" s="12">
        <f>IFERROR(__xludf.DUMMYFUNCTION("MAX(FILTER($I$2:$I109,$K$2:$K109=M4))"),3.162)</f>
        <v>3.162</v>
      </c>
      <c r="P4" s="12">
        <f t="shared" si="2"/>
        <v>0.334</v>
      </c>
      <c r="R4" s="12">
        <f>COUNTIF(P2:P109,"&gt;3")</f>
        <v>12</v>
      </c>
      <c r="S4" s="12">
        <f>COUNTIF(P2:P109,"&gt;3")/COUNTA(M2:M109)</f>
        <v>0.3333333333</v>
      </c>
    </row>
    <row r="5" ht="22.5" customHeight="1">
      <c r="A5" s="7" t="s">
        <v>28</v>
      </c>
      <c r="B5" s="8" t="s">
        <v>19</v>
      </c>
      <c r="C5" s="9">
        <v>1.2</v>
      </c>
      <c r="D5" s="8" t="s">
        <v>20</v>
      </c>
      <c r="E5" s="7">
        <v>39.0</v>
      </c>
      <c r="F5" s="7">
        <v>15.0</v>
      </c>
      <c r="G5" s="7">
        <v>35.0</v>
      </c>
      <c r="H5" s="10">
        <v>19.0</v>
      </c>
      <c r="I5" s="7">
        <v>5.657</v>
      </c>
      <c r="J5" s="10" t="s">
        <v>29</v>
      </c>
      <c r="K5" s="11" t="str">
        <f t="shared" si="1"/>
        <v>Floor 5|1.2</v>
      </c>
      <c r="L5" s="11"/>
      <c r="M5" s="12" t="s">
        <v>30</v>
      </c>
      <c r="N5" s="12">
        <f>IFERROR(__xludf.DUMMYFUNCTION("MIN(FILTER($I$2:$I109,$K$2:$K109=M5))"),0.0)</f>
        <v>0</v>
      </c>
      <c r="O5" s="12">
        <f>IFERROR(__xludf.DUMMYFUNCTION("MAX(FILTER($I$2:$I109,$K$2:$K109=M5))"),1.0)</f>
        <v>1</v>
      </c>
      <c r="P5" s="12">
        <f t="shared" si="2"/>
        <v>1</v>
      </c>
      <c r="R5" s="12">
        <f>COUNTIF(P2:P109,"&gt;5")</f>
        <v>8</v>
      </c>
      <c r="S5" s="12">
        <f>COUNTIF(P2:P109,"&gt;5")/COUNTA(M2:M109)</f>
        <v>0.2222222222</v>
      </c>
    </row>
    <row r="6" ht="22.5" customHeight="1">
      <c r="A6" s="7" t="s">
        <v>31</v>
      </c>
      <c r="B6" s="8" t="s">
        <v>19</v>
      </c>
      <c r="C6" s="9">
        <v>1.2</v>
      </c>
      <c r="D6" s="8" t="s">
        <v>20</v>
      </c>
      <c r="E6" s="7">
        <v>39.0</v>
      </c>
      <c r="F6" s="7">
        <v>15.0</v>
      </c>
      <c r="G6" s="7">
        <v>37.0</v>
      </c>
      <c r="H6" s="10">
        <v>17.0</v>
      </c>
      <c r="I6" s="10">
        <v>2.828</v>
      </c>
      <c r="J6" s="10" t="s">
        <v>32</v>
      </c>
      <c r="K6" s="11" t="str">
        <f t="shared" si="1"/>
        <v>Floor 5|1.2</v>
      </c>
      <c r="L6" s="11"/>
      <c r="M6" s="12" t="s">
        <v>33</v>
      </c>
      <c r="N6" s="12">
        <f>IFERROR(__xludf.DUMMYFUNCTION("MIN(FILTER($I$2:$I109,$K$2:$K109=M6))"),4.472)</f>
        <v>4.472</v>
      </c>
      <c r="O6" s="12">
        <f>IFERROR(__xludf.DUMMYFUNCTION("MAX(FILTER($I$2:$I109,$K$2:$K109=M6))"),12.166)</f>
        <v>12.166</v>
      </c>
      <c r="P6" s="12">
        <f t="shared" si="2"/>
        <v>7.694</v>
      </c>
      <c r="R6" s="12">
        <f>COUNTIF(P3:P109,"&gt;10")</f>
        <v>2</v>
      </c>
      <c r="S6" s="12">
        <f>COUNTIF(P3:P109,"&gt;10")/COUNTA(M3:M109)</f>
        <v>0.05714285714</v>
      </c>
    </row>
    <row r="7" ht="22.5" customHeight="1">
      <c r="A7" s="7" t="s">
        <v>34</v>
      </c>
      <c r="B7" s="8" t="s">
        <v>19</v>
      </c>
      <c r="C7" s="9">
        <v>1.2</v>
      </c>
      <c r="D7" s="8" t="s">
        <v>20</v>
      </c>
      <c r="E7" s="7">
        <v>39.0</v>
      </c>
      <c r="F7" s="7">
        <v>15.0</v>
      </c>
      <c r="G7" s="7">
        <v>36.0</v>
      </c>
      <c r="H7" s="10">
        <v>17.0</v>
      </c>
      <c r="I7" s="10">
        <v>3.606</v>
      </c>
      <c r="J7" s="10" t="s">
        <v>35</v>
      </c>
      <c r="K7" s="11" t="str">
        <f t="shared" si="1"/>
        <v>Floor 5|1.2</v>
      </c>
      <c r="L7" s="11"/>
      <c r="M7" s="12" t="s">
        <v>36</v>
      </c>
      <c r="N7" s="12">
        <f>IFERROR(__xludf.DUMMYFUNCTION("MIN(FILTER($I$2:$I109,$K$2:$K109=M7))"),0.0)</f>
        <v>0</v>
      </c>
      <c r="O7" s="12">
        <f>IFERROR(__xludf.DUMMYFUNCTION("MAX(FILTER($I$2:$I109,$K$2:$K109=M7))"),1.0)</f>
        <v>1</v>
      </c>
      <c r="P7" s="12">
        <f t="shared" si="2"/>
        <v>1</v>
      </c>
    </row>
    <row r="8" ht="22.5" customHeight="1">
      <c r="A8" s="7" t="s">
        <v>37</v>
      </c>
      <c r="B8" s="8" t="s">
        <v>19</v>
      </c>
      <c r="C8" s="9" t="s">
        <v>38</v>
      </c>
      <c r="D8" s="8" t="s">
        <v>39</v>
      </c>
      <c r="E8" s="7">
        <v>39.0</v>
      </c>
      <c r="F8" s="7">
        <v>15.0</v>
      </c>
      <c r="G8" s="7">
        <v>38.0</v>
      </c>
      <c r="H8" s="10">
        <v>18.0</v>
      </c>
      <c r="I8" s="10">
        <v>3.162</v>
      </c>
      <c r="J8" s="10" t="s">
        <v>40</v>
      </c>
      <c r="K8" s="11" t="str">
        <f t="shared" si="1"/>
        <v>Floor 5|1_pano</v>
      </c>
      <c r="L8" s="11"/>
      <c r="M8" s="12" t="s">
        <v>41</v>
      </c>
      <c r="N8" s="12">
        <f>IFERROR(__xludf.DUMMYFUNCTION("MIN(FILTER($I$2:$I109,$K$2:$K109=M8))"),6.325)</f>
        <v>6.325</v>
      </c>
      <c r="O8" s="12">
        <f>IFERROR(__xludf.DUMMYFUNCTION("MAX(FILTER($I$2:$I109,$K$2:$K109=M8))"),7.81)</f>
        <v>7.81</v>
      </c>
      <c r="P8" s="12">
        <f t="shared" si="2"/>
        <v>1.485</v>
      </c>
    </row>
    <row r="9" ht="22.5" customHeight="1">
      <c r="A9" s="7" t="s">
        <v>42</v>
      </c>
      <c r="B9" s="8" t="s">
        <v>19</v>
      </c>
      <c r="C9" s="9" t="s">
        <v>38</v>
      </c>
      <c r="D9" s="8" t="s">
        <v>39</v>
      </c>
      <c r="E9" s="7">
        <v>39.0</v>
      </c>
      <c r="F9" s="7">
        <v>15.0</v>
      </c>
      <c r="G9" s="7">
        <v>37.0</v>
      </c>
      <c r="H9" s="10">
        <v>17.0</v>
      </c>
      <c r="I9" s="10">
        <v>2.828</v>
      </c>
      <c r="J9" s="10" t="s">
        <v>43</v>
      </c>
      <c r="K9" s="11" t="str">
        <f t="shared" si="1"/>
        <v>Floor 5|1_pano</v>
      </c>
      <c r="L9" s="11"/>
      <c r="M9" s="12" t="s">
        <v>44</v>
      </c>
      <c r="N9" s="12">
        <f>IFERROR(__xludf.DUMMYFUNCTION("MIN(FILTER($I$2:$I109,$K$2:$K109=M9))"),9.22)</f>
        <v>9.22</v>
      </c>
      <c r="O9" s="12">
        <f>IFERROR(__xludf.DUMMYFUNCTION("MAX(FILTER($I$2:$I109,$K$2:$K109=M9))"),12.207)</f>
        <v>12.207</v>
      </c>
      <c r="P9" s="12">
        <f t="shared" si="2"/>
        <v>2.987</v>
      </c>
    </row>
    <row r="10" ht="22.5" customHeight="1">
      <c r="A10" s="7" t="s">
        <v>45</v>
      </c>
      <c r="B10" s="8" t="s">
        <v>19</v>
      </c>
      <c r="C10" s="9" t="s">
        <v>38</v>
      </c>
      <c r="D10" s="8" t="s">
        <v>39</v>
      </c>
      <c r="E10" s="7">
        <v>39.0</v>
      </c>
      <c r="F10" s="7">
        <v>15.0</v>
      </c>
      <c r="G10" s="7">
        <v>37.0</v>
      </c>
      <c r="H10" s="10">
        <v>17.0</v>
      </c>
      <c r="I10" s="10">
        <v>2.828</v>
      </c>
      <c r="J10" s="10" t="s">
        <v>46</v>
      </c>
      <c r="K10" s="11" t="str">
        <f t="shared" si="1"/>
        <v>Floor 5|1_pano</v>
      </c>
      <c r="L10" s="11"/>
      <c r="M10" s="12" t="s">
        <v>47</v>
      </c>
      <c r="N10" s="12">
        <f>IFERROR(__xludf.DUMMYFUNCTION("MIN(FILTER($I$2:$I109,$K$2:$K109=M10))"),6.403)</f>
        <v>6.403</v>
      </c>
      <c r="O10" s="12">
        <f>IFERROR(__xludf.DUMMYFUNCTION("MAX(FILTER($I$2:$I109,$K$2:$K109=M10))"),12.042)</f>
        <v>12.042</v>
      </c>
      <c r="P10" s="12">
        <f t="shared" si="2"/>
        <v>5.639</v>
      </c>
    </row>
    <row r="11" ht="22.5" customHeight="1">
      <c r="A11" s="7" t="s">
        <v>48</v>
      </c>
      <c r="B11" s="8" t="s">
        <v>19</v>
      </c>
      <c r="C11" s="9">
        <v>2.1</v>
      </c>
      <c r="D11" s="8" t="s">
        <v>20</v>
      </c>
      <c r="E11" s="7">
        <v>44.0</v>
      </c>
      <c r="F11" s="7">
        <v>16.0</v>
      </c>
      <c r="G11" s="7">
        <v>44.0</v>
      </c>
      <c r="H11" s="10">
        <v>16.0</v>
      </c>
      <c r="I11" s="10">
        <v>0.0</v>
      </c>
      <c r="J11" s="10" t="s">
        <v>49</v>
      </c>
      <c r="K11" s="11" t="str">
        <f t="shared" si="1"/>
        <v>Floor 5|2.1</v>
      </c>
      <c r="L11" s="11"/>
      <c r="M11" s="12" t="s">
        <v>50</v>
      </c>
      <c r="N11" s="12">
        <f>IFERROR(__xludf.DUMMYFUNCTION("MIN(FILTER($I$2:$I109,$K$2:$K109=M11))"),8.485)</f>
        <v>8.485</v>
      </c>
      <c r="O11" s="12">
        <f>IFERROR(__xludf.DUMMYFUNCTION("MAX(FILTER($I$2:$I109,$K$2:$K109=M11))"),10.0)</f>
        <v>10</v>
      </c>
      <c r="P11" s="12">
        <f t="shared" si="2"/>
        <v>1.515</v>
      </c>
    </row>
    <row r="12" ht="22.5" customHeight="1">
      <c r="A12" s="7" t="s">
        <v>51</v>
      </c>
      <c r="B12" s="8" t="s">
        <v>19</v>
      </c>
      <c r="C12" s="9">
        <v>2.1</v>
      </c>
      <c r="D12" s="8" t="s">
        <v>20</v>
      </c>
      <c r="E12" s="7">
        <v>44.0</v>
      </c>
      <c r="F12" s="7">
        <v>16.0</v>
      </c>
      <c r="G12" s="7">
        <v>44.0</v>
      </c>
      <c r="H12" s="10">
        <v>17.0</v>
      </c>
      <c r="I12" s="10">
        <v>1.0</v>
      </c>
      <c r="J12" s="10" t="s">
        <v>52</v>
      </c>
      <c r="K12" s="11" t="str">
        <f t="shared" si="1"/>
        <v>Floor 5|2.1</v>
      </c>
      <c r="L12" s="11"/>
      <c r="M12" s="12" t="s">
        <v>53</v>
      </c>
      <c r="N12" s="12">
        <f>IFERROR(__xludf.DUMMYFUNCTION("MIN(FILTER($I$2:$I109,$K$2:$K109=M12))"),19.723)</f>
        <v>19.723</v>
      </c>
      <c r="O12" s="12">
        <f>IFERROR(__xludf.DUMMYFUNCTION("MAX(FILTER($I$2:$I109,$K$2:$K109=M12))"),20.248)</f>
        <v>20.248</v>
      </c>
      <c r="P12" s="12">
        <f t="shared" si="2"/>
        <v>0.525</v>
      </c>
    </row>
    <row r="13" ht="22.5" customHeight="1">
      <c r="A13" s="7" t="s">
        <v>54</v>
      </c>
      <c r="B13" s="8" t="s">
        <v>19</v>
      </c>
      <c r="C13" s="9">
        <v>2.1</v>
      </c>
      <c r="D13" s="8" t="s">
        <v>20</v>
      </c>
      <c r="E13" s="7">
        <v>44.0</v>
      </c>
      <c r="F13" s="7">
        <v>16.0</v>
      </c>
      <c r="G13" s="7">
        <v>44.0</v>
      </c>
      <c r="H13" s="10">
        <v>17.0</v>
      </c>
      <c r="I13" s="10">
        <v>1.0</v>
      </c>
      <c r="J13" s="10" t="s">
        <v>55</v>
      </c>
      <c r="K13" s="11" t="str">
        <f t="shared" si="1"/>
        <v>Floor 5|2.1</v>
      </c>
      <c r="L13" s="11"/>
      <c r="M13" s="12" t="s">
        <v>56</v>
      </c>
      <c r="N13" s="12">
        <f>IFERROR(__xludf.DUMMYFUNCTION("MIN(FILTER($I$2:$I109,$K$2:$K109=M13))"),12.649)</f>
        <v>12.649</v>
      </c>
      <c r="O13" s="12">
        <f>IFERROR(__xludf.DUMMYFUNCTION("MAX(FILTER($I$2:$I109,$K$2:$K109=M13))"),18.385)</f>
        <v>18.385</v>
      </c>
      <c r="P13" s="12">
        <f t="shared" si="2"/>
        <v>5.736</v>
      </c>
    </row>
    <row r="14" ht="22.5" customHeight="1">
      <c r="A14" s="7" t="s">
        <v>57</v>
      </c>
      <c r="B14" s="8" t="s">
        <v>19</v>
      </c>
      <c r="C14" s="9">
        <v>2.2</v>
      </c>
      <c r="D14" s="8" t="s">
        <v>20</v>
      </c>
      <c r="E14" s="7">
        <v>44.0</v>
      </c>
      <c r="F14" s="7">
        <v>16.0</v>
      </c>
      <c r="G14" s="7">
        <v>42.0</v>
      </c>
      <c r="H14" s="10">
        <v>20.0</v>
      </c>
      <c r="I14" s="10">
        <v>4.472</v>
      </c>
      <c r="J14" s="10" t="s">
        <v>58</v>
      </c>
      <c r="K14" s="11" t="str">
        <f t="shared" si="1"/>
        <v>Floor 5|2.2</v>
      </c>
      <c r="L14" s="11"/>
      <c r="M14" s="12" t="s">
        <v>59</v>
      </c>
      <c r="N14" s="12">
        <f>IFERROR(__xludf.DUMMYFUNCTION("MIN(FILTER($I$2:$I109,$K$2:$K109=M14))"),20.616)</f>
        <v>20.616</v>
      </c>
      <c r="O14" s="12">
        <f>IFERROR(__xludf.DUMMYFUNCTION("MAX(FILTER($I$2:$I109,$K$2:$K109=M14))"),21.26)</f>
        <v>21.26</v>
      </c>
      <c r="P14" s="12">
        <f t="shared" si="2"/>
        <v>0.644</v>
      </c>
    </row>
    <row r="15" ht="22.5" customHeight="1">
      <c r="A15" s="7" t="s">
        <v>60</v>
      </c>
      <c r="B15" s="8" t="s">
        <v>19</v>
      </c>
      <c r="C15" s="9">
        <v>2.2</v>
      </c>
      <c r="D15" s="8" t="s">
        <v>20</v>
      </c>
      <c r="E15" s="7">
        <v>44.0</v>
      </c>
      <c r="F15" s="7">
        <v>16.0</v>
      </c>
      <c r="G15" s="7">
        <v>42.0</v>
      </c>
      <c r="H15" s="10">
        <v>28.0</v>
      </c>
      <c r="I15" s="10">
        <v>12.166</v>
      </c>
      <c r="J15" s="10" t="s">
        <v>61</v>
      </c>
      <c r="K15" s="11" t="str">
        <f t="shared" si="1"/>
        <v>Floor 5|2.2</v>
      </c>
      <c r="L15" s="11"/>
      <c r="M15" s="12" t="s">
        <v>62</v>
      </c>
      <c r="N15" s="12">
        <f>IFERROR(__xludf.DUMMYFUNCTION("MIN(FILTER($I$2:$I109,$K$2:$K109=M15))"),1.0)</f>
        <v>1</v>
      </c>
      <c r="O15" s="12">
        <f>IFERROR(__xludf.DUMMYFUNCTION("MAX(FILTER($I$2:$I109,$K$2:$K109=M15))"),3.0)</f>
        <v>3</v>
      </c>
      <c r="P15" s="12">
        <f t="shared" si="2"/>
        <v>2</v>
      </c>
    </row>
    <row r="16" ht="22.5" customHeight="1">
      <c r="A16" s="7" t="s">
        <v>63</v>
      </c>
      <c r="B16" s="8" t="s">
        <v>19</v>
      </c>
      <c r="C16" s="9">
        <v>2.2</v>
      </c>
      <c r="D16" s="8" t="s">
        <v>20</v>
      </c>
      <c r="E16" s="7">
        <v>44.0</v>
      </c>
      <c r="F16" s="7">
        <v>16.0</v>
      </c>
      <c r="G16" s="7">
        <v>43.0</v>
      </c>
      <c r="H16" s="10">
        <v>28.0</v>
      </c>
      <c r="I16" s="10">
        <v>12.042</v>
      </c>
      <c r="J16" s="10" t="s">
        <v>64</v>
      </c>
      <c r="K16" s="11" t="str">
        <f t="shared" si="1"/>
        <v>Floor 5|2.2</v>
      </c>
      <c r="L16" s="11"/>
      <c r="M16" s="12" t="s">
        <v>65</v>
      </c>
      <c r="N16" s="12">
        <f>IFERROR(__xludf.DUMMYFUNCTION("MIN(FILTER($I$2:$I109,$K$2:$K109=M16))"),7.28)</f>
        <v>7.28</v>
      </c>
      <c r="O16" s="12">
        <f>IFERROR(__xludf.DUMMYFUNCTION("MAX(FILTER($I$2:$I109,$K$2:$K109=M16))"),13.342)</f>
        <v>13.342</v>
      </c>
      <c r="P16" s="12">
        <f t="shared" si="2"/>
        <v>6.062</v>
      </c>
    </row>
    <row r="17" ht="22.5" customHeight="1">
      <c r="A17" s="7" t="s">
        <v>66</v>
      </c>
      <c r="B17" s="8" t="s">
        <v>19</v>
      </c>
      <c r="C17" s="9" t="s">
        <v>67</v>
      </c>
      <c r="D17" s="8" t="s">
        <v>39</v>
      </c>
      <c r="E17" s="7">
        <v>44.0</v>
      </c>
      <c r="F17" s="7">
        <v>16.0</v>
      </c>
      <c r="G17" s="7">
        <v>44.0</v>
      </c>
      <c r="H17" s="10">
        <v>16.0</v>
      </c>
      <c r="I17" s="10">
        <v>0.0</v>
      </c>
      <c r="J17" s="10" t="s">
        <v>68</v>
      </c>
      <c r="K17" s="11" t="str">
        <f t="shared" si="1"/>
        <v>Floor 5|2.pano</v>
      </c>
      <c r="L17" s="11"/>
      <c r="M17" s="12" t="s">
        <v>69</v>
      </c>
      <c r="N17" s="12">
        <f>IFERROR(__xludf.DUMMYFUNCTION("MIN(FILTER($I$2:$I109,$K$2:$K109=M17))"),5.0)</f>
        <v>5</v>
      </c>
      <c r="O17" s="12">
        <f>IFERROR(__xludf.DUMMYFUNCTION("MAX(FILTER($I$2:$I109,$K$2:$K109=M17))"),5.657)</f>
        <v>5.657</v>
      </c>
      <c r="P17" s="12">
        <f t="shared" si="2"/>
        <v>0.657</v>
      </c>
    </row>
    <row r="18" ht="22.5" customHeight="1">
      <c r="A18" s="7" t="s">
        <v>70</v>
      </c>
      <c r="B18" s="8" t="s">
        <v>19</v>
      </c>
      <c r="C18" s="9" t="s">
        <v>67</v>
      </c>
      <c r="D18" s="8" t="s">
        <v>39</v>
      </c>
      <c r="E18" s="7">
        <v>44.0</v>
      </c>
      <c r="F18" s="7">
        <v>16.0</v>
      </c>
      <c r="G18" s="7">
        <v>44.0</v>
      </c>
      <c r="H18" s="10">
        <v>16.0</v>
      </c>
      <c r="I18" s="10">
        <v>0.0</v>
      </c>
      <c r="J18" s="10" t="s">
        <v>71</v>
      </c>
      <c r="K18" s="11" t="str">
        <f t="shared" si="1"/>
        <v>Floor 5|2.pano</v>
      </c>
      <c r="L18" s="11"/>
      <c r="M18" s="12" t="s">
        <v>72</v>
      </c>
      <c r="N18" s="12">
        <f>IFERROR(__xludf.DUMMYFUNCTION("MIN(FILTER($I$2:$I109,$K$2:$K109=M18))"),3.0)</f>
        <v>3</v>
      </c>
      <c r="O18" s="12">
        <f>IFERROR(__xludf.DUMMYFUNCTION("MAX(FILTER($I$2:$I109,$K$2:$K109=M18))"),3.162)</f>
        <v>3.162</v>
      </c>
      <c r="P18" s="12">
        <f t="shared" si="2"/>
        <v>0.162</v>
      </c>
    </row>
    <row r="19" ht="22.5" customHeight="1">
      <c r="A19" s="7" t="s">
        <v>73</v>
      </c>
      <c r="B19" s="8" t="s">
        <v>19</v>
      </c>
      <c r="C19" s="9" t="s">
        <v>67</v>
      </c>
      <c r="D19" s="8" t="s">
        <v>39</v>
      </c>
      <c r="E19" s="7">
        <v>44.0</v>
      </c>
      <c r="F19" s="7">
        <v>16.0</v>
      </c>
      <c r="G19" s="7">
        <v>44.0</v>
      </c>
      <c r="H19" s="10">
        <v>17.0</v>
      </c>
      <c r="I19" s="10">
        <v>1.0</v>
      </c>
      <c r="J19" s="10" t="s">
        <v>74</v>
      </c>
      <c r="K19" s="11" t="str">
        <f t="shared" si="1"/>
        <v>Floor 5|2.pano</v>
      </c>
      <c r="L19" s="11"/>
      <c r="M19" s="12" t="s">
        <v>75</v>
      </c>
      <c r="N19" s="12">
        <f>IFERROR(__xludf.DUMMYFUNCTION("MIN(FILTER($I$2:$I109,$K$2:$K109=M19))"),4.243)</f>
        <v>4.243</v>
      </c>
      <c r="O19" s="12">
        <f>IFERROR(__xludf.DUMMYFUNCTION("MAX(FILTER($I$2:$I109,$K$2:$K109=M19))"),5.657)</f>
        <v>5.657</v>
      </c>
      <c r="P19" s="12">
        <f t="shared" si="2"/>
        <v>1.414</v>
      </c>
    </row>
    <row r="20" ht="22.5" customHeight="1">
      <c r="A20" s="7" t="s">
        <v>76</v>
      </c>
      <c r="B20" s="8" t="s">
        <v>19</v>
      </c>
      <c r="C20" s="9">
        <v>3.1</v>
      </c>
      <c r="D20" s="8" t="s">
        <v>20</v>
      </c>
      <c r="E20" s="7">
        <v>39.0</v>
      </c>
      <c r="F20" s="7">
        <v>22.0</v>
      </c>
      <c r="G20" s="7">
        <v>44.0</v>
      </c>
      <c r="H20" s="7">
        <v>16.0</v>
      </c>
      <c r="I20" s="10">
        <v>7.81</v>
      </c>
      <c r="J20" s="10" t="s">
        <v>77</v>
      </c>
      <c r="K20" s="11" t="str">
        <f t="shared" si="1"/>
        <v>Floor 5|3.1</v>
      </c>
      <c r="L20" s="11"/>
      <c r="M20" s="12" t="s">
        <v>78</v>
      </c>
      <c r="N20" s="12">
        <f>IFERROR(__xludf.DUMMYFUNCTION("MIN(FILTER($I$2:$I109,$K$2:$K109=M20))"),25.08)</f>
        <v>25.08</v>
      </c>
      <c r="O20" s="12">
        <f>IFERROR(__xludf.DUMMYFUNCTION("MAX(FILTER($I$2:$I109,$K$2:$K109=M20))"),30.017)</f>
        <v>30.017</v>
      </c>
      <c r="P20" s="12">
        <f t="shared" si="2"/>
        <v>4.937</v>
      </c>
    </row>
    <row r="21" ht="22.5" customHeight="1">
      <c r="A21" s="7" t="s">
        <v>79</v>
      </c>
      <c r="B21" s="8" t="s">
        <v>19</v>
      </c>
      <c r="C21" s="9">
        <v>3.1</v>
      </c>
      <c r="D21" s="8" t="s">
        <v>20</v>
      </c>
      <c r="E21" s="7">
        <v>39.0</v>
      </c>
      <c r="F21" s="7">
        <v>22.0</v>
      </c>
      <c r="G21" s="7">
        <v>44.0</v>
      </c>
      <c r="H21" s="10">
        <v>17.0</v>
      </c>
      <c r="I21" s="10">
        <v>7.071</v>
      </c>
      <c r="J21" s="10" t="s">
        <v>80</v>
      </c>
      <c r="K21" s="11" t="str">
        <f t="shared" si="1"/>
        <v>Floor 5|3.1</v>
      </c>
      <c r="L21" s="11"/>
      <c r="M21" s="12" t="s">
        <v>81</v>
      </c>
      <c r="N21" s="12">
        <f>IFERROR(__xludf.DUMMYFUNCTION("MIN(FILTER($I$2:$I109,$K$2:$K109=M21))"),25.0)</f>
        <v>25</v>
      </c>
      <c r="O21" s="12">
        <f>IFERROR(__xludf.DUMMYFUNCTION("MAX(FILTER($I$2:$I109,$K$2:$K109=M21))"),28.636)</f>
        <v>28.636</v>
      </c>
      <c r="P21" s="12">
        <f t="shared" si="2"/>
        <v>3.636</v>
      </c>
    </row>
    <row r="22" ht="22.5" customHeight="1">
      <c r="A22" s="7" t="s">
        <v>82</v>
      </c>
      <c r="B22" s="8" t="s">
        <v>19</v>
      </c>
      <c r="C22" s="9">
        <v>3.1</v>
      </c>
      <c r="D22" s="8" t="s">
        <v>20</v>
      </c>
      <c r="E22" s="7">
        <v>39.0</v>
      </c>
      <c r="F22" s="7">
        <v>22.0</v>
      </c>
      <c r="G22" s="7">
        <v>45.0</v>
      </c>
      <c r="H22" s="10">
        <v>20.0</v>
      </c>
      <c r="I22" s="10">
        <v>6.325</v>
      </c>
      <c r="J22" s="10" t="s">
        <v>83</v>
      </c>
      <c r="K22" s="11" t="str">
        <f t="shared" si="1"/>
        <v>Floor 5|3.1</v>
      </c>
      <c r="L22" s="11"/>
      <c r="M22" s="12" t="s">
        <v>84</v>
      </c>
      <c r="N22" s="12">
        <f>IFERROR(__xludf.DUMMYFUNCTION("MIN(FILTER($I$2:$I109,$K$2:$K109=M22))"),6.403)</f>
        <v>6.403</v>
      </c>
      <c r="O22" s="12">
        <f>IFERROR(__xludf.DUMMYFUNCTION("MAX(FILTER($I$2:$I109,$K$2:$K109=M22))"),27.514)</f>
        <v>27.514</v>
      </c>
      <c r="P22" s="12">
        <f t="shared" si="2"/>
        <v>21.111</v>
      </c>
    </row>
    <row r="23" ht="22.5" customHeight="1">
      <c r="A23" s="7" t="s">
        <v>85</v>
      </c>
      <c r="B23" s="8" t="s">
        <v>19</v>
      </c>
      <c r="C23" s="9">
        <v>3.2</v>
      </c>
      <c r="D23" s="8" t="s">
        <v>20</v>
      </c>
      <c r="E23" s="7">
        <v>39.0</v>
      </c>
      <c r="F23" s="7">
        <v>22.0</v>
      </c>
      <c r="G23" s="7">
        <v>31.0</v>
      </c>
      <c r="H23" s="10">
        <v>17.0</v>
      </c>
      <c r="I23" s="10">
        <v>9.434</v>
      </c>
      <c r="J23" s="10" t="s">
        <v>86</v>
      </c>
      <c r="K23" s="11" t="str">
        <f t="shared" si="1"/>
        <v>Floor 5|3.2</v>
      </c>
      <c r="L23" s="11"/>
      <c r="M23" s="12" t="s">
        <v>87</v>
      </c>
      <c r="N23" s="12">
        <f>IFERROR(__xludf.DUMMYFUNCTION("MIN(FILTER($I$2:$I109,$K$2:$K109=M23))"),2.236)</f>
        <v>2.236</v>
      </c>
      <c r="O23" s="12">
        <f>IFERROR(__xludf.DUMMYFUNCTION("MAX(FILTER($I$2:$I109,$K$2:$K109=M23))"),3.162)</f>
        <v>3.162</v>
      </c>
      <c r="P23" s="12">
        <f t="shared" si="2"/>
        <v>0.926</v>
      </c>
    </row>
    <row r="24" ht="22.5" customHeight="1">
      <c r="A24" s="7" t="s">
        <v>88</v>
      </c>
      <c r="B24" s="8" t="s">
        <v>19</v>
      </c>
      <c r="C24" s="9">
        <v>3.2</v>
      </c>
      <c r="D24" s="8" t="s">
        <v>20</v>
      </c>
      <c r="E24" s="7">
        <v>39.0</v>
      </c>
      <c r="F24" s="7">
        <v>22.0</v>
      </c>
      <c r="G24" s="7">
        <v>32.0</v>
      </c>
      <c r="H24" s="10">
        <v>24.0</v>
      </c>
      <c r="I24" s="10">
        <v>9.22</v>
      </c>
      <c r="J24" s="10" t="s">
        <v>89</v>
      </c>
      <c r="K24" s="11" t="str">
        <f t="shared" si="1"/>
        <v>Floor 5|3.2</v>
      </c>
      <c r="L24" s="11"/>
      <c r="M24" s="12" t="s">
        <v>90</v>
      </c>
      <c r="N24" s="12">
        <f>IFERROR(__xludf.DUMMYFUNCTION("MIN(FILTER($I$2:$I109,$K$2:$K109=M24))"),2.236)</f>
        <v>2.236</v>
      </c>
      <c r="O24" s="12">
        <f>IFERROR(__xludf.DUMMYFUNCTION("MAX(FILTER($I$2:$I109,$K$2:$K109=M24))"),5.0)</f>
        <v>5</v>
      </c>
      <c r="P24" s="12">
        <f t="shared" si="2"/>
        <v>2.764</v>
      </c>
    </row>
    <row r="25" ht="22.5" customHeight="1">
      <c r="A25" s="7" t="s">
        <v>91</v>
      </c>
      <c r="B25" s="8" t="s">
        <v>19</v>
      </c>
      <c r="C25" s="9">
        <v>3.2</v>
      </c>
      <c r="D25" s="8" t="s">
        <v>20</v>
      </c>
      <c r="E25" s="7">
        <v>39.0</v>
      </c>
      <c r="F25" s="7">
        <v>22.0</v>
      </c>
      <c r="G25" s="7">
        <v>32.0</v>
      </c>
      <c r="H25" s="10">
        <v>12.0</v>
      </c>
      <c r="I25" s="10">
        <v>12.207</v>
      </c>
      <c r="J25" s="10" t="s">
        <v>92</v>
      </c>
      <c r="K25" s="11" t="str">
        <f t="shared" si="1"/>
        <v>Floor 5|3.2</v>
      </c>
      <c r="L25" s="11"/>
      <c r="M25" s="12" t="s">
        <v>93</v>
      </c>
      <c r="N25" s="12">
        <f>IFERROR(__xludf.DUMMYFUNCTION("MIN(FILTER($I$2:$I109,$K$2:$K109=M25))"),2.236)</f>
        <v>2.236</v>
      </c>
      <c r="O25" s="12">
        <f>IFERROR(__xludf.DUMMYFUNCTION("MAX(FILTER($I$2:$I109,$K$2:$K109=M25))"),3.606)</f>
        <v>3.606</v>
      </c>
      <c r="P25" s="12">
        <f t="shared" si="2"/>
        <v>1.37</v>
      </c>
    </row>
    <row r="26" ht="22.5" customHeight="1">
      <c r="A26" s="7" t="s">
        <v>94</v>
      </c>
      <c r="B26" s="8" t="s">
        <v>19</v>
      </c>
      <c r="C26" s="9" t="s">
        <v>95</v>
      </c>
      <c r="D26" s="8" t="s">
        <v>39</v>
      </c>
      <c r="E26" s="7">
        <v>39.0</v>
      </c>
      <c r="F26" s="7">
        <v>22.0</v>
      </c>
      <c r="G26" s="7">
        <v>35.0</v>
      </c>
      <c r="H26" s="10">
        <v>17.0</v>
      </c>
      <c r="I26" s="10">
        <v>6.403</v>
      </c>
      <c r="J26" s="10" t="s">
        <v>96</v>
      </c>
      <c r="K26" s="11" t="str">
        <f t="shared" si="1"/>
        <v>Floor 5|3_pano</v>
      </c>
      <c r="L26" s="11"/>
      <c r="M26" s="12" t="s">
        <v>97</v>
      </c>
      <c r="N26" s="12">
        <f>IFERROR(__xludf.DUMMYFUNCTION("MIN(FILTER($I$2:$I109,$K$2:$K109=M26))"),2.236)</f>
        <v>2.236</v>
      </c>
      <c r="O26" s="12">
        <f>IFERROR(__xludf.DUMMYFUNCTION("MAX(FILTER($I$2:$I109,$K$2:$K109=M26))"),5.0)</f>
        <v>5</v>
      </c>
      <c r="P26" s="12">
        <f t="shared" si="2"/>
        <v>2.764</v>
      </c>
    </row>
    <row r="27" ht="22.5" customHeight="1">
      <c r="A27" s="7" t="s">
        <v>98</v>
      </c>
      <c r="B27" s="8" t="s">
        <v>19</v>
      </c>
      <c r="C27" s="9" t="s">
        <v>95</v>
      </c>
      <c r="D27" s="8" t="s">
        <v>39</v>
      </c>
      <c r="E27" s="7">
        <v>39.0</v>
      </c>
      <c r="F27" s="7">
        <v>22.0</v>
      </c>
      <c r="G27" s="7">
        <v>34.0</v>
      </c>
      <c r="H27" s="10">
        <v>12.0</v>
      </c>
      <c r="I27" s="10">
        <v>11.18</v>
      </c>
      <c r="J27" s="10" t="s">
        <v>99</v>
      </c>
      <c r="K27" s="11" t="str">
        <f t="shared" si="1"/>
        <v>Floor 5|3_pano</v>
      </c>
      <c r="L27" s="11"/>
      <c r="M27" s="12" t="s">
        <v>100</v>
      </c>
      <c r="N27" s="12">
        <f>IFERROR(__xludf.DUMMYFUNCTION("MIN(FILTER($I$2:$I109,$K$2:$K109=M27))"),3.162)</f>
        <v>3.162</v>
      </c>
      <c r="O27" s="12">
        <f>IFERROR(__xludf.DUMMYFUNCTION("MAX(FILTER($I$2:$I109,$K$2:$K109=M27))"),5.385)</f>
        <v>5.385</v>
      </c>
      <c r="P27" s="12">
        <f t="shared" si="2"/>
        <v>2.223</v>
      </c>
    </row>
    <row r="28" ht="22.5" customHeight="1">
      <c r="A28" s="7" t="s">
        <v>101</v>
      </c>
      <c r="B28" s="8" t="s">
        <v>19</v>
      </c>
      <c r="C28" s="9" t="s">
        <v>95</v>
      </c>
      <c r="D28" s="8" t="s">
        <v>39</v>
      </c>
      <c r="E28" s="7">
        <v>39.0</v>
      </c>
      <c r="F28" s="7">
        <v>22.0</v>
      </c>
      <c r="G28" s="7">
        <v>31.0</v>
      </c>
      <c r="H28" s="10">
        <v>13.0</v>
      </c>
      <c r="I28" s="10">
        <v>12.042</v>
      </c>
      <c r="J28" s="10" t="s">
        <v>102</v>
      </c>
      <c r="K28" s="11" t="str">
        <f t="shared" si="1"/>
        <v>Floor 5|3_pano</v>
      </c>
      <c r="L28" s="11"/>
      <c r="M28" s="12" t="s">
        <v>103</v>
      </c>
      <c r="N28" s="12">
        <f>IFERROR(__xludf.DUMMYFUNCTION("MIN(FILTER($I$2:$I109,$K$2:$K109=M28))"),5.0)</f>
        <v>5</v>
      </c>
      <c r="O28" s="12">
        <f>IFERROR(__xludf.DUMMYFUNCTION("MAX(FILTER($I$2:$I109,$K$2:$K109=M28))"),15.232)</f>
        <v>15.232</v>
      </c>
      <c r="P28" s="12">
        <f t="shared" si="2"/>
        <v>10.232</v>
      </c>
    </row>
    <row r="29" ht="22.5" customHeight="1">
      <c r="A29" s="7" t="s">
        <v>104</v>
      </c>
      <c r="B29" s="8" t="s">
        <v>19</v>
      </c>
      <c r="C29" s="9">
        <v>4.1</v>
      </c>
      <c r="D29" s="8" t="s">
        <v>20</v>
      </c>
      <c r="E29" s="7">
        <v>42.0</v>
      </c>
      <c r="F29" s="7">
        <v>29.0</v>
      </c>
      <c r="G29" s="7">
        <v>36.0</v>
      </c>
      <c r="H29" s="10">
        <v>23.0</v>
      </c>
      <c r="I29" s="10">
        <v>8.485</v>
      </c>
      <c r="J29" s="10" t="s">
        <v>105</v>
      </c>
      <c r="K29" s="11" t="str">
        <f t="shared" si="1"/>
        <v>Floor 5|4.1</v>
      </c>
      <c r="L29" s="11"/>
      <c r="M29" s="12" t="s">
        <v>106</v>
      </c>
      <c r="N29" s="12">
        <f>IFERROR(__xludf.DUMMYFUNCTION("MIN(FILTER($I$2:$I109,$K$2:$K109=M29))"),17.804)</f>
        <v>17.804</v>
      </c>
      <c r="O29" s="12">
        <f>IFERROR(__xludf.DUMMYFUNCTION("MAX(FILTER($I$2:$I109,$K$2:$K109=M29))"),19.105)</f>
        <v>19.105</v>
      </c>
      <c r="P29" s="12">
        <f t="shared" si="2"/>
        <v>1.301</v>
      </c>
    </row>
    <row r="30" ht="22.5" customHeight="1">
      <c r="A30" s="7" t="s">
        <v>107</v>
      </c>
      <c r="B30" s="8" t="s">
        <v>19</v>
      </c>
      <c r="C30" s="9">
        <v>4.1</v>
      </c>
      <c r="D30" s="8" t="s">
        <v>20</v>
      </c>
      <c r="E30" s="7">
        <v>42.0</v>
      </c>
      <c r="F30" s="7">
        <v>29.0</v>
      </c>
      <c r="G30" s="7">
        <v>35.0</v>
      </c>
      <c r="H30" s="10">
        <v>23.0</v>
      </c>
      <c r="I30" s="10">
        <v>9.22</v>
      </c>
      <c r="J30" s="10" t="s">
        <v>108</v>
      </c>
      <c r="K30" s="11" t="str">
        <f t="shared" si="1"/>
        <v>Floor 5|4.1</v>
      </c>
      <c r="L30" s="11"/>
      <c r="M30" s="12" t="s">
        <v>109</v>
      </c>
      <c r="N30" s="12">
        <f>IFERROR(__xludf.DUMMYFUNCTION("MIN(FILTER($I$2:$I109,$K$2:$K109=M30))"),4.472)</f>
        <v>4.472</v>
      </c>
      <c r="O30" s="12">
        <f>IFERROR(__xludf.DUMMYFUNCTION("MAX(FILTER($I$2:$I109,$K$2:$K109=M30))"),11.402)</f>
        <v>11.402</v>
      </c>
      <c r="P30" s="12">
        <f t="shared" si="2"/>
        <v>6.93</v>
      </c>
    </row>
    <row r="31" ht="22.5" customHeight="1">
      <c r="A31" s="7" t="s">
        <v>110</v>
      </c>
      <c r="B31" s="8" t="s">
        <v>19</v>
      </c>
      <c r="C31" s="9">
        <v>4.1</v>
      </c>
      <c r="D31" s="8" t="s">
        <v>20</v>
      </c>
      <c r="E31" s="7">
        <v>42.0</v>
      </c>
      <c r="F31" s="7">
        <v>29.0</v>
      </c>
      <c r="G31" s="7">
        <v>36.0</v>
      </c>
      <c r="H31" s="10">
        <v>21.0</v>
      </c>
      <c r="I31" s="10">
        <v>10.0</v>
      </c>
      <c r="J31" s="10" t="s">
        <v>111</v>
      </c>
      <c r="K31" s="11" t="str">
        <f t="shared" si="1"/>
        <v>Floor 5|4.1</v>
      </c>
      <c r="L31" s="11"/>
      <c r="M31" s="12" t="s">
        <v>112</v>
      </c>
      <c r="N31" s="12">
        <f>IFERROR(__xludf.DUMMYFUNCTION("MIN(FILTER($I$2:$I109,$K$2:$K109=M31))"),15.556)</f>
        <v>15.556</v>
      </c>
      <c r="O31" s="12">
        <f>IFERROR(__xludf.DUMMYFUNCTION("MAX(FILTER($I$2:$I109,$K$2:$K109=M31))"),19.849)</f>
        <v>19.849</v>
      </c>
      <c r="P31" s="12">
        <f t="shared" si="2"/>
        <v>4.293</v>
      </c>
    </row>
    <row r="32" ht="22.5" customHeight="1">
      <c r="A32" s="7" t="s">
        <v>113</v>
      </c>
      <c r="B32" s="8" t="s">
        <v>19</v>
      </c>
      <c r="C32" s="9">
        <v>4.2</v>
      </c>
      <c r="D32" s="8" t="s">
        <v>20</v>
      </c>
      <c r="E32" s="7">
        <v>42.0</v>
      </c>
      <c r="F32" s="7">
        <v>29.0</v>
      </c>
      <c r="G32" s="7">
        <v>31.0</v>
      </c>
      <c r="H32" s="10">
        <v>12.0</v>
      </c>
      <c r="I32" s="10">
        <v>20.248</v>
      </c>
      <c r="J32" s="10" t="s">
        <v>114</v>
      </c>
      <c r="K32" s="11" t="str">
        <f t="shared" si="1"/>
        <v>Floor 5|4.2</v>
      </c>
      <c r="L32" s="11"/>
      <c r="M32" s="12" t="s">
        <v>115</v>
      </c>
      <c r="N32" s="12">
        <f>IFERROR(__xludf.DUMMYFUNCTION("MIN(FILTER($I$2:$I109,$K$2:$K109=M32))"),10.63)</f>
        <v>10.63</v>
      </c>
      <c r="O32" s="12">
        <f>IFERROR(__xludf.DUMMYFUNCTION("MAX(FILTER($I$2:$I109,$K$2:$K109=M32))"),12.083)</f>
        <v>12.083</v>
      </c>
      <c r="P32" s="12">
        <f t="shared" si="2"/>
        <v>1.453</v>
      </c>
    </row>
    <row r="33" ht="22.5" customHeight="1">
      <c r="A33" s="7" t="s">
        <v>116</v>
      </c>
      <c r="B33" s="8" t="s">
        <v>19</v>
      </c>
      <c r="C33" s="9">
        <v>4.2</v>
      </c>
      <c r="D33" s="8" t="s">
        <v>20</v>
      </c>
      <c r="E33" s="7">
        <v>42.0</v>
      </c>
      <c r="F33" s="7">
        <v>29.0</v>
      </c>
      <c r="G33" s="7">
        <v>32.0</v>
      </c>
      <c r="H33" s="10">
        <v>12.0</v>
      </c>
      <c r="I33" s="10">
        <v>19.723</v>
      </c>
      <c r="J33" s="10" t="s">
        <v>117</v>
      </c>
      <c r="K33" s="11" t="str">
        <f t="shared" si="1"/>
        <v>Floor 5|4.2</v>
      </c>
      <c r="L33" s="11"/>
      <c r="M33" s="12" t="s">
        <v>118</v>
      </c>
      <c r="N33" s="12">
        <f>IFERROR(__xludf.DUMMYFUNCTION("MIN(FILTER($I$2:$I109,$K$2:$K109=M33))"),3.606)</f>
        <v>3.606</v>
      </c>
      <c r="O33" s="12">
        <f>IFERROR(__xludf.DUMMYFUNCTION("MAX(FILTER($I$2:$I109,$K$2:$K109=M33))"),8.246)</f>
        <v>8.246</v>
      </c>
      <c r="P33" s="12">
        <f t="shared" si="2"/>
        <v>4.64</v>
      </c>
    </row>
    <row r="34" ht="22.5" customHeight="1">
      <c r="A34" s="7" t="s">
        <v>119</v>
      </c>
      <c r="B34" s="8" t="s">
        <v>19</v>
      </c>
      <c r="C34" s="9">
        <v>4.2</v>
      </c>
      <c r="D34" s="8" t="s">
        <v>20</v>
      </c>
      <c r="E34" s="7">
        <v>42.0</v>
      </c>
      <c r="F34" s="7">
        <v>29.0</v>
      </c>
      <c r="G34" s="7">
        <v>32.0</v>
      </c>
      <c r="H34" s="10">
        <v>12.0</v>
      </c>
      <c r="I34" s="10">
        <v>19.723</v>
      </c>
      <c r="J34" s="10" t="s">
        <v>120</v>
      </c>
      <c r="K34" s="11" t="str">
        <f t="shared" si="1"/>
        <v>Floor 5|4.2</v>
      </c>
      <c r="L34" s="11"/>
      <c r="M34" s="12" t="s">
        <v>121</v>
      </c>
      <c r="N34" s="12">
        <f>IFERROR(__xludf.DUMMYFUNCTION("MIN(FILTER($I$2:$I109,$K$2:$K109=M34))"),6.403)</f>
        <v>6.403</v>
      </c>
      <c r="O34" s="12">
        <f>IFERROR(__xludf.DUMMYFUNCTION("MAX(FILTER($I$2:$I109,$K$2:$K109=M34))"),12.806)</f>
        <v>12.806</v>
      </c>
      <c r="P34" s="12">
        <f t="shared" si="2"/>
        <v>6.403</v>
      </c>
    </row>
    <row r="35" ht="22.5" customHeight="1">
      <c r="A35" s="7" t="s">
        <v>122</v>
      </c>
      <c r="B35" s="8" t="s">
        <v>19</v>
      </c>
      <c r="C35" s="9" t="s">
        <v>123</v>
      </c>
      <c r="D35" s="8" t="s">
        <v>39</v>
      </c>
      <c r="E35" s="7">
        <v>42.0</v>
      </c>
      <c r="F35" s="7">
        <v>29.0</v>
      </c>
      <c r="G35" s="7">
        <v>38.0</v>
      </c>
      <c r="H35" s="10">
        <v>17.0</v>
      </c>
      <c r="I35" s="10">
        <v>12.649</v>
      </c>
      <c r="J35" s="10" t="s">
        <v>124</v>
      </c>
      <c r="K35" s="11" t="str">
        <f t="shared" si="1"/>
        <v>Floor 5|4.pano</v>
      </c>
      <c r="L35" s="11"/>
      <c r="M35" s="12" t="s">
        <v>125</v>
      </c>
      <c r="N35" s="12">
        <f>IFERROR(__xludf.DUMMYFUNCTION("MIN(FILTER($I$2:$I109,$K$2:$K109=M35))"),9.487)</f>
        <v>9.487</v>
      </c>
      <c r="O35" s="12">
        <f>IFERROR(__xludf.DUMMYFUNCTION("MAX(FILTER($I$2:$I109,$K$2:$K109=M35))"),10.77)</f>
        <v>10.77</v>
      </c>
      <c r="P35" s="12">
        <f t="shared" si="2"/>
        <v>1.283</v>
      </c>
    </row>
    <row r="36" ht="22.5" customHeight="1">
      <c r="A36" s="7" t="s">
        <v>126</v>
      </c>
      <c r="B36" s="8" t="s">
        <v>19</v>
      </c>
      <c r="C36" s="9" t="s">
        <v>123</v>
      </c>
      <c r="D36" s="8" t="s">
        <v>39</v>
      </c>
      <c r="E36" s="7">
        <v>42.0</v>
      </c>
      <c r="F36" s="7">
        <v>29.0</v>
      </c>
      <c r="G36" s="7">
        <v>35.0</v>
      </c>
      <c r="H36" s="10">
        <v>12.0</v>
      </c>
      <c r="I36" s="10">
        <v>18.385</v>
      </c>
      <c r="J36" s="10" t="s">
        <v>127</v>
      </c>
      <c r="K36" s="11" t="str">
        <f t="shared" si="1"/>
        <v>Floor 5|4.pano</v>
      </c>
      <c r="L36" s="11"/>
      <c r="M36" s="12" t="s">
        <v>128</v>
      </c>
      <c r="N36" s="12">
        <f>IFERROR(__xludf.DUMMYFUNCTION("MIN(FILTER($I$2:$I109,$K$2:$K109=M36))"),9.487)</f>
        <v>9.487</v>
      </c>
      <c r="O36" s="12">
        <f>IFERROR(__xludf.DUMMYFUNCTION("MAX(FILTER($I$2:$I109,$K$2:$K109=M36))"),10.77)</f>
        <v>10.77</v>
      </c>
      <c r="P36" s="12">
        <f t="shared" si="2"/>
        <v>1.283</v>
      </c>
    </row>
    <row r="37" ht="22.5" customHeight="1">
      <c r="A37" s="7" t="s">
        <v>129</v>
      </c>
      <c r="B37" s="8" t="s">
        <v>19</v>
      </c>
      <c r="C37" s="9" t="s">
        <v>123</v>
      </c>
      <c r="D37" s="8" t="s">
        <v>39</v>
      </c>
      <c r="E37" s="7">
        <v>42.0</v>
      </c>
      <c r="F37" s="7">
        <v>29.0</v>
      </c>
      <c r="G37" s="7">
        <v>35.0</v>
      </c>
      <c r="H37" s="10">
        <v>12.0</v>
      </c>
      <c r="I37" s="10">
        <v>18.385</v>
      </c>
      <c r="J37" s="10" t="s">
        <v>130</v>
      </c>
      <c r="K37" s="11" t="str">
        <f t="shared" si="1"/>
        <v>Floor 5|4.pano</v>
      </c>
      <c r="L37" s="11"/>
      <c r="M37" s="12" t="s">
        <v>131</v>
      </c>
      <c r="N37" s="12">
        <f>IFERROR(__xludf.DUMMYFUNCTION("MIN(FILTER($I$2:$I109,$K$2:$K109=M37))"),8.944)</f>
        <v>8.944</v>
      </c>
      <c r="O37" s="12">
        <f>IFERROR(__xludf.DUMMYFUNCTION("MAX(FILTER($I$2:$I109,$K$2:$K109=M37))"),11.18)</f>
        <v>11.18</v>
      </c>
      <c r="P37" s="12">
        <f t="shared" si="2"/>
        <v>2.236</v>
      </c>
    </row>
    <row r="38" ht="22.5" customHeight="1">
      <c r="A38" s="7" t="s">
        <v>132</v>
      </c>
      <c r="B38" s="8" t="s">
        <v>19</v>
      </c>
      <c r="C38" s="9">
        <v>5.1</v>
      </c>
      <c r="D38" s="8" t="s">
        <v>20</v>
      </c>
      <c r="E38" s="7">
        <v>46.0</v>
      </c>
      <c r="F38" s="7">
        <v>30.0</v>
      </c>
      <c r="G38" s="7">
        <v>30.0</v>
      </c>
      <c r="H38" s="7">
        <v>16.0</v>
      </c>
      <c r="I38" s="10">
        <v>21.26</v>
      </c>
      <c r="J38" s="10" t="s">
        <v>133</v>
      </c>
      <c r="K38" s="11" t="str">
        <f t="shared" si="1"/>
        <v>Floor 5|5.1</v>
      </c>
      <c r="L38" s="11"/>
    </row>
    <row r="39" ht="22.5" customHeight="1">
      <c r="A39" s="7" t="s">
        <v>134</v>
      </c>
      <c r="B39" s="8" t="s">
        <v>19</v>
      </c>
      <c r="C39" s="9">
        <v>5.1</v>
      </c>
      <c r="D39" s="8" t="s">
        <v>20</v>
      </c>
      <c r="E39" s="7">
        <v>46.0</v>
      </c>
      <c r="F39" s="7">
        <v>30.0</v>
      </c>
      <c r="G39" s="7">
        <v>30.0</v>
      </c>
      <c r="H39" s="10">
        <v>17.0</v>
      </c>
      <c r="I39" s="10">
        <v>20.616</v>
      </c>
      <c r="J39" s="10" t="s">
        <v>135</v>
      </c>
      <c r="K39" s="11" t="str">
        <f t="shared" si="1"/>
        <v>Floor 5|5.1</v>
      </c>
      <c r="L39" s="11"/>
    </row>
    <row r="40" ht="22.5" customHeight="1">
      <c r="A40" s="7" t="s">
        <v>136</v>
      </c>
      <c r="B40" s="8" t="s">
        <v>19</v>
      </c>
      <c r="C40" s="9">
        <v>5.1</v>
      </c>
      <c r="D40" s="8" t="s">
        <v>20</v>
      </c>
      <c r="E40" s="7">
        <v>46.0</v>
      </c>
      <c r="F40" s="7">
        <v>30.0</v>
      </c>
      <c r="G40" s="7">
        <v>30.0</v>
      </c>
      <c r="H40" s="10">
        <v>17.0</v>
      </c>
      <c r="I40" s="10">
        <v>20.616</v>
      </c>
      <c r="J40" s="10" t="s">
        <v>137</v>
      </c>
      <c r="K40" s="11" t="str">
        <f t="shared" si="1"/>
        <v>Floor 5|5.1</v>
      </c>
      <c r="L40" s="11"/>
    </row>
    <row r="41" ht="22.5" customHeight="1">
      <c r="A41" s="7" t="s">
        <v>138</v>
      </c>
      <c r="B41" s="8" t="s">
        <v>19</v>
      </c>
      <c r="C41" s="9">
        <v>5.2</v>
      </c>
      <c r="D41" s="8" t="s">
        <v>20</v>
      </c>
      <c r="E41" s="7">
        <v>46.0</v>
      </c>
      <c r="F41" s="7">
        <v>30.0</v>
      </c>
      <c r="G41" s="7">
        <v>49.0</v>
      </c>
      <c r="H41" s="10">
        <v>30.0</v>
      </c>
      <c r="I41" s="10">
        <v>3.0</v>
      </c>
      <c r="J41" s="10" t="s">
        <v>139</v>
      </c>
      <c r="K41" s="11" t="str">
        <f t="shared" si="1"/>
        <v>Floor 5|5.2</v>
      </c>
      <c r="L41" s="11"/>
    </row>
    <row r="42" ht="22.5" customHeight="1">
      <c r="A42" s="7" t="s">
        <v>140</v>
      </c>
      <c r="B42" s="8" t="s">
        <v>19</v>
      </c>
      <c r="C42" s="9">
        <v>5.2</v>
      </c>
      <c r="D42" s="8" t="s">
        <v>20</v>
      </c>
      <c r="E42" s="7">
        <v>46.0</v>
      </c>
      <c r="F42" s="7">
        <v>30.0</v>
      </c>
      <c r="G42" s="7">
        <v>47.0</v>
      </c>
      <c r="H42" s="10">
        <v>30.0</v>
      </c>
      <c r="I42" s="10">
        <v>1.0</v>
      </c>
      <c r="J42" s="10" t="s">
        <v>141</v>
      </c>
      <c r="K42" s="11" t="str">
        <f t="shared" si="1"/>
        <v>Floor 5|5.2</v>
      </c>
      <c r="L42" s="11"/>
    </row>
    <row r="43" ht="22.5" customHeight="1">
      <c r="A43" s="7" t="s">
        <v>142</v>
      </c>
      <c r="B43" s="8" t="s">
        <v>19</v>
      </c>
      <c r="C43" s="9">
        <v>5.2</v>
      </c>
      <c r="D43" s="8" t="s">
        <v>20</v>
      </c>
      <c r="E43" s="7">
        <v>46.0</v>
      </c>
      <c r="F43" s="7">
        <v>30.0</v>
      </c>
      <c r="G43" s="7">
        <v>48.0</v>
      </c>
      <c r="H43" s="10">
        <v>30.0</v>
      </c>
      <c r="I43" s="10">
        <v>2.0</v>
      </c>
      <c r="J43" s="10" t="s">
        <v>143</v>
      </c>
      <c r="K43" s="11" t="str">
        <f t="shared" si="1"/>
        <v>Floor 5|5.2</v>
      </c>
      <c r="L43" s="11"/>
    </row>
    <row r="44" ht="22.5" customHeight="1">
      <c r="A44" s="7" t="s">
        <v>144</v>
      </c>
      <c r="B44" s="8" t="s">
        <v>19</v>
      </c>
      <c r="C44" s="9" t="s">
        <v>145</v>
      </c>
      <c r="D44" s="8" t="s">
        <v>39</v>
      </c>
      <c r="E44" s="7">
        <v>46.0</v>
      </c>
      <c r="F44" s="7">
        <v>30.0</v>
      </c>
      <c r="G44" s="7">
        <v>43.0</v>
      </c>
      <c r="H44" s="10">
        <v>17.0</v>
      </c>
      <c r="I44" s="10">
        <v>13.342</v>
      </c>
      <c r="J44" s="10" t="s">
        <v>146</v>
      </c>
      <c r="K44" s="11" t="str">
        <f t="shared" si="1"/>
        <v>Floor 5|5.pano</v>
      </c>
      <c r="L44" s="11"/>
    </row>
    <row r="45" ht="22.5" customHeight="1">
      <c r="A45" s="7" t="s">
        <v>147</v>
      </c>
      <c r="B45" s="8" t="s">
        <v>19</v>
      </c>
      <c r="C45" s="9" t="s">
        <v>145</v>
      </c>
      <c r="D45" s="8" t="s">
        <v>39</v>
      </c>
      <c r="E45" s="7">
        <v>46.0</v>
      </c>
      <c r="F45" s="7">
        <v>30.0</v>
      </c>
      <c r="G45" s="7">
        <v>44.0</v>
      </c>
      <c r="H45" s="10">
        <v>19.0</v>
      </c>
      <c r="I45" s="10">
        <v>11.18</v>
      </c>
      <c r="J45" s="10" t="s">
        <v>148</v>
      </c>
      <c r="K45" s="11" t="str">
        <f t="shared" si="1"/>
        <v>Floor 5|5.pano</v>
      </c>
      <c r="L45" s="11"/>
    </row>
    <row r="46" ht="22.5" customHeight="1">
      <c r="A46" s="7" t="s">
        <v>149</v>
      </c>
      <c r="B46" s="8" t="s">
        <v>19</v>
      </c>
      <c r="C46" s="9" t="s">
        <v>145</v>
      </c>
      <c r="D46" s="8" t="s">
        <v>39</v>
      </c>
      <c r="E46" s="7">
        <v>46.0</v>
      </c>
      <c r="F46" s="7">
        <v>30.0</v>
      </c>
      <c r="G46" s="7">
        <v>44.0</v>
      </c>
      <c r="H46" s="10">
        <v>23.0</v>
      </c>
      <c r="I46" s="10">
        <v>7.28</v>
      </c>
      <c r="J46" s="10" t="s">
        <v>150</v>
      </c>
      <c r="K46" s="11" t="str">
        <f t="shared" si="1"/>
        <v>Floor 5|5.pano</v>
      </c>
      <c r="L46" s="11"/>
    </row>
    <row r="47" ht="22.5" customHeight="1">
      <c r="A47" s="7" t="s">
        <v>151</v>
      </c>
      <c r="B47" s="8" t="s">
        <v>19</v>
      </c>
      <c r="C47" s="9">
        <v>6.1</v>
      </c>
      <c r="D47" s="8" t="s">
        <v>20</v>
      </c>
      <c r="E47" s="7">
        <v>48.0</v>
      </c>
      <c r="F47" s="7">
        <v>27.0</v>
      </c>
      <c r="G47" s="7">
        <v>44.0</v>
      </c>
      <c r="H47" s="10">
        <v>31.0</v>
      </c>
      <c r="I47" s="10">
        <v>5.657</v>
      </c>
      <c r="J47" s="10" t="s">
        <v>152</v>
      </c>
      <c r="K47" s="11" t="str">
        <f t="shared" si="1"/>
        <v>Floor 5|6.1</v>
      </c>
      <c r="L47" s="11"/>
    </row>
    <row r="48" ht="22.5" customHeight="1">
      <c r="A48" s="7" t="s">
        <v>153</v>
      </c>
      <c r="B48" s="8" t="s">
        <v>19</v>
      </c>
      <c r="C48" s="9">
        <v>6.1</v>
      </c>
      <c r="D48" s="8" t="s">
        <v>20</v>
      </c>
      <c r="E48" s="7">
        <v>48.0</v>
      </c>
      <c r="F48" s="7">
        <v>27.0</v>
      </c>
      <c r="G48" s="7">
        <v>44.0</v>
      </c>
      <c r="H48" s="10">
        <v>30.0</v>
      </c>
      <c r="I48" s="10">
        <v>5.0</v>
      </c>
      <c r="J48" s="10" t="s">
        <v>154</v>
      </c>
      <c r="K48" s="11" t="str">
        <f t="shared" si="1"/>
        <v>Floor 5|6.1</v>
      </c>
      <c r="L48" s="11"/>
    </row>
    <row r="49" ht="22.5" customHeight="1">
      <c r="A49" s="7" t="s">
        <v>155</v>
      </c>
      <c r="B49" s="8" t="s">
        <v>19</v>
      </c>
      <c r="C49" s="9">
        <v>6.1</v>
      </c>
      <c r="D49" s="8" t="s">
        <v>20</v>
      </c>
      <c r="E49" s="7">
        <v>48.0</v>
      </c>
      <c r="F49" s="7">
        <v>27.0</v>
      </c>
      <c r="G49" s="7">
        <v>44.0</v>
      </c>
      <c r="H49" s="10">
        <v>31.0</v>
      </c>
      <c r="I49" s="10">
        <v>5.657</v>
      </c>
      <c r="J49" s="10" t="s">
        <v>156</v>
      </c>
      <c r="K49" s="11" t="str">
        <f t="shared" si="1"/>
        <v>Floor 5|6.1</v>
      </c>
      <c r="L49" s="11"/>
    </row>
    <row r="50" ht="22.5" customHeight="1">
      <c r="A50" s="7" t="s">
        <v>157</v>
      </c>
      <c r="B50" s="8" t="s">
        <v>19</v>
      </c>
      <c r="C50" s="9">
        <v>6.2</v>
      </c>
      <c r="D50" s="8" t="s">
        <v>20</v>
      </c>
      <c r="E50" s="7">
        <v>48.0</v>
      </c>
      <c r="F50" s="7">
        <v>27.0</v>
      </c>
      <c r="G50" s="7">
        <v>47.0</v>
      </c>
      <c r="H50" s="10">
        <v>30.0</v>
      </c>
      <c r="I50" s="10">
        <v>3.162</v>
      </c>
      <c r="J50" s="10" t="s">
        <v>158</v>
      </c>
      <c r="K50" s="11" t="str">
        <f t="shared" si="1"/>
        <v>Floor 5|6.2</v>
      </c>
      <c r="L50" s="11"/>
    </row>
    <row r="51" ht="22.5" customHeight="1">
      <c r="A51" s="7" t="s">
        <v>159</v>
      </c>
      <c r="B51" s="8" t="s">
        <v>19</v>
      </c>
      <c r="C51" s="9">
        <v>6.2</v>
      </c>
      <c r="D51" s="8" t="s">
        <v>20</v>
      </c>
      <c r="E51" s="7">
        <v>48.0</v>
      </c>
      <c r="F51" s="7">
        <v>27.0</v>
      </c>
      <c r="G51" s="7">
        <v>48.0</v>
      </c>
      <c r="H51" s="10">
        <v>30.0</v>
      </c>
      <c r="I51" s="10">
        <v>3.0</v>
      </c>
      <c r="J51" s="10" t="s">
        <v>160</v>
      </c>
      <c r="K51" s="11" t="str">
        <f t="shared" si="1"/>
        <v>Floor 5|6.2</v>
      </c>
      <c r="L51" s="11"/>
    </row>
    <row r="52" ht="22.5" customHeight="1">
      <c r="A52" s="7" t="s">
        <v>161</v>
      </c>
      <c r="B52" s="8" t="s">
        <v>19</v>
      </c>
      <c r="C52" s="9">
        <v>6.2</v>
      </c>
      <c r="D52" s="8" t="s">
        <v>20</v>
      </c>
      <c r="E52" s="7">
        <v>48.0</v>
      </c>
      <c r="F52" s="7">
        <v>27.0</v>
      </c>
      <c r="G52" s="7">
        <v>47.0</v>
      </c>
      <c r="H52" s="10">
        <v>30.0</v>
      </c>
      <c r="I52" s="10">
        <v>3.162</v>
      </c>
      <c r="J52" s="10" t="s">
        <v>162</v>
      </c>
      <c r="K52" s="11" t="str">
        <f t="shared" si="1"/>
        <v>Floor 5|6.2</v>
      </c>
      <c r="L52" s="11"/>
    </row>
    <row r="53" ht="22.5" customHeight="1">
      <c r="A53" s="7" t="s">
        <v>163</v>
      </c>
      <c r="B53" s="8" t="s">
        <v>19</v>
      </c>
      <c r="C53" s="9" t="s">
        <v>164</v>
      </c>
      <c r="D53" s="8" t="s">
        <v>39</v>
      </c>
      <c r="E53" s="7">
        <v>48.0</v>
      </c>
      <c r="F53" s="7">
        <v>27.0</v>
      </c>
      <c r="G53" s="7">
        <v>45.0</v>
      </c>
      <c r="H53" s="10">
        <v>30.0</v>
      </c>
      <c r="I53" s="10">
        <v>4.243</v>
      </c>
      <c r="J53" s="10" t="s">
        <v>165</v>
      </c>
      <c r="K53" s="11" t="str">
        <f t="shared" si="1"/>
        <v>Floor 5|6_pano</v>
      </c>
      <c r="L53" s="11"/>
    </row>
    <row r="54" ht="22.5" customHeight="1">
      <c r="A54" s="7" t="s">
        <v>166</v>
      </c>
      <c r="B54" s="8" t="s">
        <v>19</v>
      </c>
      <c r="C54" s="9" t="s">
        <v>164</v>
      </c>
      <c r="D54" s="8" t="s">
        <v>39</v>
      </c>
      <c r="E54" s="7">
        <v>48.0</v>
      </c>
      <c r="F54" s="7">
        <v>27.0</v>
      </c>
      <c r="G54" s="7">
        <v>45.0</v>
      </c>
      <c r="H54" s="10">
        <v>30.0</v>
      </c>
      <c r="I54" s="10">
        <v>4.243</v>
      </c>
      <c r="J54" s="10" t="s">
        <v>167</v>
      </c>
      <c r="K54" s="11" t="str">
        <f t="shared" si="1"/>
        <v>Floor 5|6_pano</v>
      </c>
      <c r="L54" s="11"/>
    </row>
    <row r="55" ht="22.5" customHeight="1">
      <c r="A55" s="7" t="s">
        <v>168</v>
      </c>
      <c r="B55" s="8" t="s">
        <v>19</v>
      </c>
      <c r="C55" s="9" t="s">
        <v>164</v>
      </c>
      <c r="D55" s="8" t="s">
        <v>39</v>
      </c>
      <c r="E55" s="7">
        <v>48.0</v>
      </c>
      <c r="F55" s="7">
        <v>27.0</v>
      </c>
      <c r="G55" s="7">
        <v>44.0</v>
      </c>
      <c r="H55" s="10">
        <v>31.0</v>
      </c>
      <c r="I55" s="10">
        <v>5.657</v>
      </c>
      <c r="J55" s="10" t="s">
        <v>169</v>
      </c>
      <c r="K55" s="11" t="str">
        <f t="shared" si="1"/>
        <v>Floor 5|6_pano</v>
      </c>
      <c r="L55" s="11"/>
    </row>
    <row r="56" ht="22.5" customHeight="1">
      <c r="A56" s="7" t="s">
        <v>170</v>
      </c>
      <c r="B56" s="8" t="s">
        <v>171</v>
      </c>
      <c r="C56" s="9">
        <v>1.1</v>
      </c>
      <c r="D56" s="8" t="s">
        <v>20</v>
      </c>
      <c r="E56" s="7">
        <v>30.0</v>
      </c>
      <c r="F56" s="7">
        <v>10.0</v>
      </c>
      <c r="G56" s="7">
        <v>29.0</v>
      </c>
      <c r="H56" s="10">
        <v>40.0</v>
      </c>
      <c r="I56" s="10">
        <v>30.017</v>
      </c>
      <c r="J56" s="10" t="s">
        <v>172</v>
      </c>
      <c r="K56" s="11" t="str">
        <f t="shared" si="1"/>
        <v>Floor 3|1.1</v>
      </c>
      <c r="L56" s="11"/>
    </row>
    <row r="57" ht="22.5" customHeight="1">
      <c r="A57" s="7" t="s">
        <v>173</v>
      </c>
      <c r="B57" s="8" t="s">
        <v>171</v>
      </c>
      <c r="C57" s="9">
        <v>1.1</v>
      </c>
      <c r="D57" s="8" t="s">
        <v>20</v>
      </c>
      <c r="E57" s="7">
        <v>30.0</v>
      </c>
      <c r="F57" s="7">
        <v>10.0</v>
      </c>
      <c r="G57" s="7">
        <v>28.0</v>
      </c>
      <c r="H57" s="10">
        <v>35.0</v>
      </c>
      <c r="I57" s="10">
        <v>25.08</v>
      </c>
      <c r="J57" s="10" t="s">
        <v>174</v>
      </c>
      <c r="K57" s="11" t="str">
        <f t="shared" si="1"/>
        <v>Floor 3|1.1</v>
      </c>
      <c r="L57" s="11"/>
    </row>
    <row r="58" ht="22.5" customHeight="1">
      <c r="A58" s="7" t="s">
        <v>175</v>
      </c>
      <c r="B58" s="8" t="s">
        <v>171</v>
      </c>
      <c r="C58" s="9">
        <v>1.1</v>
      </c>
      <c r="D58" s="8" t="s">
        <v>20</v>
      </c>
      <c r="E58" s="7">
        <v>30.0</v>
      </c>
      <c r="F58" s="7">
        <v>10.0</v>
      </c>
      <c r="G58" s="7">
        <v>30.0</v>
      </c>
      <c r="H58" s="10">
        <v>38.0</v>
      </c>
      <c r="I58" s="10">
        <v>28.0</v>
      </c>
      <c r="J58" s="10" t="s">
        <v>176</v>
      </c>
      <c r="K58" s="11" t="str">
        <f t="shared" si="1"/>
        <v>Floor 3|1.1</v>
      </c>
      <c r="L58" s="11"/>
    </row>
    <row r="59" ht="22.5" customHeight="1">
      <c r="A59" s="7" t="s">
        <v>177</v>
      </c>
      <c r="B59" s="8" t="s">
        <v>171</v>
      </c>
      <c r="C59" s="9">
        <v>1.2</v>
      </c>
      <c r="D59" s="8" t="s">
        <v>20</v>
      </c>
      <c r="E59" s="7">
        <v>30.0</v>
      </c>
      <c r="F59" s="7">
        <v>10.0</v>
      </c>
      <c r="G59" s="7">
        <v>15.0</v>
      </c>
      <c r="H59" s="10">
        <v>30.0</v>
      </c>
      <c r="I59" s="10">
        <v>25.0</v>
      </c>
      <c r="J59" s="10" t="s">
        <v>178</v>
      </c>
      <c r="K59" s="11" t="str">
        <f t="shared" si="1"/>
        <v>Floor 3|1.2</v>
      </c>
      <c r="L59" s="11"/>
    </row>
    <row r="60" ht="22.5" customHeight="1">
      <c r="A60" s="7" t="s">
        <v>179</v>
      </c>
      <c r="B60" s="8" t="s">
        <v>171</v>
      </c>
      <c r="C60" s="9">
        <v>1.2</v>
      </c>
      <c r="D60" s="8" t="s">
        <v>20</v>
      </c>
      <c r="E60" s="7">
        <v>30.0</v>
      </c>
      <c r="F60" s="7">
        <v>10.0</v>
      </c>
      <c r="G60" s="7">
        <v>22.0</v>
      </c>
      <c r="H60" s="10">
        <v>37.0</v>
      </c>
      <c r="I60" s="10">
        <v>28.16</v>
      </c>
      <c r="J60" s="10" t="s">
        <v>180</v>
      </c>
      <c r="K60" s="11" t="str">
        <f t="shared" si="1"/>
        <v>Floor 3|1.2</v>
      </c>
      <c r="L60" s="11"/>
    </row>
    <row r="61" ht="22.5" customHeight="1">
      <c r="A61" s="7" t="s">
        <v>181</v>
      </c>
      <c r="B61" s="8" t="s">
        <v>171</v>
      </c>
      <c r="C61" s="9">
        <v>1.2</v>
      </c>
      <c r="D61" s="8" t="s">
        <v>20</v>
      </c>
      <c r="E61" s="7">
        <v>30.0</v>
      </c>
      <c r="F61" s="7">
        <v>10.0</v>
      </c>
      <c r="G61" s="7">
        <v>24.0</v>
      </c>
      <c r="H61" s="10">
        <v>38.0</v>
      </c>
      <c r="I61" s="10">
        <v>28.636</v>
      </c>
      <c r="J61" s="10" t="s">
        <v>182</v>
      </c>
      <c r="K61" s="11" t="str">
        <f t="shared" si="1"/>
        <v>Floor 3|1.2</v>
      </c>
      <c r="L61" s="11"/>
    </row>
    <row r="62" ht="22.5" customHeight="1">
      <c r="A62" s="7" t="s">
        <v>183</v>
      </c>
      <c r="B62" s="8" t="s">
        <v>171</v>
      </c>
      <c r="C62" s="9" t="s">
        <v>184</v>
      </c>
      <c r="D62" s="8" t="s">
        <v>39</v>
      </c>
      <c r="E62" s="7">
        <v>30.0</v>
      </c>
      <c r="F62" s="7">
        <v>10.0</v>
      </c>
      <c r="G62" s="7">
        <v>39.0</v>
      </c>
      <c r="H62" s="10">
        <v>36.0</v>
      </c>
      <c r="I62" s="10">
        <v>27.514</v>
      </c>
      <c r="J62" s="10" t="s">
        <v>185</v>
      </c>
      <c r="K62" s="11" t="str">
        <f t="shared" si="1"/>
        <v>Floor 3|1.pano</v>
      </c>
      <c r="L62" s="11"/>
    </row>
    <row r="63" ht="22.5" customHeight="1">
      <c r="A63" s="7" t="s">
        <v>186</v>
      </c>
      <c r="B63" s="8" t="s">
        <v>171</v>
      </c>
      <c r="C63" s="9" t="s">
        <v>184</v>
      </c>
      <c r="D63" s="8" t="s">
        <v>39</v>
      </c>
      <c r="E63" s="7">
        <v>30.0</v>
      </c>
      <c r="F63" s="7">
        <v>10.0</v>
      </c>
      <c r="G63" s="7">
        <v>37.0</v>
      </c>
      <c r="H63" s="10">
        <v>29.0</v>
      </c>
      <c r="I63" s="10">
        <v>20.248</v>
      </c>
      <c r="J63" s="10" t="s">
        <v>187</v>
      </c>
      <c r="K63" s="11" t="str">
        <f t="shared" si="1"/>
        <v>Floor 3|1.pano</v>
      </c>
      <c r="L63" s="11"/>
    </row>
    <row r="64" ht="22.5" customHeight="1">
      <c r="A64" s="7" t="s">
        <v>188</v>
      </c>
      <c r="B64" s="8" t="s">
        <v>171</v>
      </c>
      <c r="C64" s="9" t="s">
        <v>184</v>
      </c>
      <c r="D64" s="8" t="s">
        <v>39</v>
      </c>
      <c r="E64" s="7">
        <v>30.0</v>
      </c>
      <c r="F64" s="7">
        <v>10.0</v>
      </c>
      <c r="G64" s="7">
        <v>34.0</v>
      </c>
      <c r="H64" s="10">
        <v>15.0</v>
      </c>
      <c r="I64" s="10">
        <v>6.403</v>
      </c>
      <c r="J64" s="10" t="s">
        <v>189</v>
      </c>
      <c r="K64" s="11" t="str">
        <f t="shared" si="1"/>
        <v>Floor 3|1.pano</v>
      </c>
      <c r="L64" s="11"/>
    </row>
    <row r="65" ht="22.5" customHeight="1">
      <c r="A65" s="7" t="s">
        <v>190</v>
      </c>
      <c r="B65" s="8" t="s">
        <v>171</v>
      </c>
      <c r="C65" s="9">
        <v>2.1</v>
      </c>
      <c r="D65" s="8" t="s">
        <v>20</v>
      </c>
      <c r="E65" s="7">
        <v>40.0</v>
      </c>
      <c r="F65" s="7">
        <v>18.0</v>
      </c>
      <c r="G65" s="7">
        <v>39.0</v>
      </c>
      <c r="H65" s="10">
        <v>21.0</v>
      </c>
      <c r="I65" s="10">
        <v>3.162</v>
      </c>
      <c r="J65" s="10" t="s">
        <v>191</v>
      </c>
      <c r="K65" s="11" t="str">
        <f t="shared" si="1"/>
        <v>Floor 3|2.1</v>
      </c>
      <c r="L65" s="11"/>
    </row>
    <row r="66" ht="22.5" customHeight="1">
      <c r="A66" s="7" t="s">
        <v>192</v>
      </c>
      <c r="B66" s="8" t="s">
        <v>171</v>
      </c>
      <c r="C66" s="9">
        <v>2.1</v>
      </c>
      <c r="D66" s="8" t="s">
        <v>20</v>
      </c>
      <c r="E66" s="7">
        <v>40.0</v>
      </c>
      <c r="F66" s="7">
        <v>18.0</v>
      </c>
      <c r="G66" s="7">
        <v>41.0</v>
      </c>
      <c r="H66" s="10">
        <v>20.0</v>
      </c>
      <c r="I66" s="10">
        <v>2.236</v>
      </c>
      <c r="J66" s="10" t="s">
        <v>193</v>
      </c>
      <c r="K66" s="11" t="str">
        <f t="shared" si="1"/>
        <v>Floor 3|2.1</v>
      </c>
      <c r="L66" s="11"/>
    </row>
    <row r="67" ht="22.5" customHeight="1">
      <c r="A67" s="7" t="s">
        <v>194</v>
      </c>
      <c r="B67" s="8" t="s">
        <v>171</v>
      </c>
      <c r="C67" s="9">
        <v>2.1</v>
      </c>
      <c r="D67" s="8" t="s">
        <v>20</v>
      </c>
      <c r="E67" s="7">
        <v>40.0</v>
      </c>
      <c r="F67" s="7">
        <v>18.0</v>
      </c>
      <c r="G67" s="7">
        <v>39.0</v>
      </c>
      <c r="H67" s="10">
        <v>21.0</v>
      </c>
      <c r="I67" s="10">
        <v>3.162</v>
      </c>
      <c r="J67" s="10" t="s">
        <v>195</v>
      </c>
      <c r="K67" s="11" t="str">
        <f t="shared" si="1"/>
        <v>Floor 3|2.1</v>
      </c>
      <c r="L67" s="11"/>
    </row>
    <row r="68" ht="22.5" customHeight="1">
      <c r="A68" s="7" t="s">
        <v>196</v>
      </c>
      <c r="B68" s="8" t="s">
        <v>171</v>
      </c>
      <c r="C68" s="9">
        <v>2.2</v>
      </c>
      <c r="D68" s="8" t="s">
        <v>20</v>
      </c>
      <c r="E68" s="7">
        <v>40.0</v>
      </c>
      <c r="F68" s="7">
        <v>18.0</v>
      </c>
      <c r="G68" s="7">
        <v>39.0</v>
      </c>
      <c r="H68" s="10">
        <v>20.0</v>
      </c>
      <c r="I68" s="10">
        <v>2.236</v>
      </c>
      <c r="J68" s="10" t="s">
        <v>197</v>
      </c>
      <c r="K68" s="11" t="str">
        <f t="shared" si="1"/>
        <v>Floor 3|2.2</v>
      </c>
      <c r="L68" s="11"/>
    </row>
    <row r="69" ht="22.5" customHeight="1">
      <c r="A69" s="7" t="s">
        <v>198</v>
      </c>
      <c r="B69" s="8" t="s">
        <v>171</v>
      </c>
      <c r="C69" s="9">
        <v>2.2</v>
      </c>
      <c r="D69" s="8" t="s">
        <v>20</v>
      </c>
      <c r="E69" s="7">
        <v>40.0</v>
      </c>
      <c r="F69" s="7">
        <v>18.0</v>
      </c>
      <c r="G69" s="7">
        <v>40.0</v>
      </c>
      <c r="H69" s="10">
        <v>23.0</v>
      </c>
      <c r="I69" s="10">
        <v>5.0</v>
      </c>
      <c r="J69" s="10" t="s">
        <v>199</v>
      </c>
      <c r="K69" s="11" t="str">
        <f t="shared" si="1"/>
        <v>Floor 3|2.2</v>
      </c>
      <c r="L69" s="11"/>
    </row>
    <row r="70" ht="22.5" customHeight="1">
      <c r="A70" s="7" t="s">
        <v>200</v>
      </c>
      <c r="B70" s="8" t="s">
        <v>171</v>
      </c>
      <c r="C70" s="9">
        <v>2.2</v>
      </c>
      <c r="D70" s="8" t="s">
        <v>20</v>
      </c>
      <c r="E70" s="7">
        <v>40.0</v>
      </c>
      <c r="F70" s="7">
        <v>18.0</v>
      </c>
      <c r="G70" s="7">
        <v>39.0</v>
      </c>
      <c r="H70" s="10">
        <v>22.0</v>
      </c>
      <c r="I70" s="10">
        <v>4.123</v>
      </c>
      <c r="J70" s="10" t="s">
        <v>201</v>
      </c>
      <c r="K70" s="11" t="str">
        <f t="shared" si="1"/>
        <v>Floor 3|2.2</v>
      </c>
      <c r="L70" s="11"/>
    </row>
    <row r="71" ht="22.5" customHeight="1">
      <c r="A71" s="7" t="s">
        <v>202</v>
      </c>
      <c r="B71" s="8" t="s">
        <v>171</v>
      </c>
      <c r="C71" s="9" t="s">
        <v>203</v>
      </c>
      <c r="D71" s="8" t="s">
        <v>39</v>
      </c>
      <c r="E71" s="7">
        <v>40.0</v>
      </c>
      <c r="F71" s="7">
        <v>18.0</v>
      </c>
      <c r="G71" s="7">
        <v>38.0</v>
      </c>
      <c r="H71" s="10">
        <v>21.0</v>
      </c>
      <c r="I71" s="10">
        <v>3.606</v>
      </c>
      <c r="J71" s="10" t="s">
        <v>204</v>
      </c>
      <c r="K71" s="11" t="str">
        <f t="shared" si="1"/>
        <v>Floor 3|2_pano</v>
      </c>
      <c r="L71" s="11"/>
    </row>
    <row r="72" ht="22.5" customHeight="1">
      <c r="A72" s="7" t="s">
        <v>205</v>
      </c>
      <c r="B72" s="8" t="s">
        <v>171</v>
      </c>
      <c r="C72" s="9" t="s">
        <v>203</v>
      </c>
      <c r="D72" s="8" t="s">
        <v>39</v>
      </c>
      <c r="E72" s="7">
        <v>40.0</v>
      </c>
      <c r="F72" s="7">
        <v>18.0</v>
      </c>
      <c r="G72" s="7">
        <v>39.0</v>
      </c>
      <c r="H72" s="10">
        <v>21.0</v>
      </c>
      <c r="I72" s="10">
        <v>3.162</v>
      </c>
      <c r="J72" s="10" t="s">
        <v>206</v>
      </c>
      <c r="K72" s="11" t="str">
        <f t="shared" si="1"/>
        <v>Floor 3|2_pano</v>
      </c>
      <c r="L72" s="11"/>
    </row>
    <row r="73" ht="22.5" customHeight="1">
      <c r="A73" s="7" t="s">
        <v>207</v>
      </c>
      <c r="B73" s="8" t="s">
        <v>171</v>
      </c>
      <c r="C73" s="9" t="s">
        <v>203</v>
      </c>
      <c r="D73" s="8" t="s">
        <v>39</v>
      </c>
      <c r="E73" s="7">
        <v>40.0</v>
      </c>
      <c r="F73" s="7">
        <v>18.0</v>
      </c>
      <c r="G73" s="7">
        <v>39.0</v>
      </c>
      <c r="H73" s="10">
        <v>20.0</v>
      </c>
      <c r="I73" s="10">
        <v>2.236</v>
      </c>
      <c r="J73" s="10" t="s">
        <v>208</v>
      </c>
      <c r="K73" s="11" t="str">
        <f t="shared" si="1"/>
        <v>Floor 3|2_pano</v>
      </c>
      <c r="L73" s="11"/>
    </row>
    <row r="74" ht="22.5" customHeight="1">
      <c r="A74" s="7" t="s">
        <v>209</v>
      </c>
      <c r="B74" s="8" t="s">
        <v>171</v>
      </c>
      <c r="C74" s="9">
        <v>3.1</v>
      </c>
      <c r="D74" s="8" t="s">
        <v>20</v>
      </c>
      <c r="E74" s="7">
        <v>31.0</v>
      </c>
      <c r="F74" s="7">
        <v>23.0</v>
      </c>
      <c r="G74" s="7">
        <v>34.0</v>
      </c>
      <c r="H74" s="10">
        <v>26.0</v>
      </c>
      <c r="I74" s="10">
        <v>4.243</v>
      </c>
      <c r="J74" s="10" t="s">
        <v>210</v>
      </c>
      <c r="K74" s="11" t="str">
        <f t="shared" si="1"/>
        <v>Floor 3|3.1</v>
      </c>
      <c r="L74" s="11"/>
    </row>
    <row r="75" ht="22.5" customHeight="1">
      <c r="A75" s="7" t="s">
        <v>211</v>
      </c>
      <c r="B75" s="8" t="s">
        <v>171</v>
      </c>
      <c r="C75" s="9">
        <v>3.1</v>
      </c>
      <c r="D75" s="8" t="s">
        <v>20</v>
      </c>
      <c r="E75" s="7">
        <v>31.0</v>
      </c>
      <c r="F75" s="7">
        <v>23.0</v>
      </c>
      <c r="G75" s="7">
        <v>32.0</v>
      </c>
      <c r="H75" s="10">
        <v>25.0</v>
      </c>
      <c r="I75" s="10">
        <v>2.236</v>
      </c>
      <c r="J75" s="10" t="s">
        <v>212</v>
      </c>
      <c r="K75" s="11" t="str">
        <f t="shared" si="1"/>
        <v>Floor 3|3.1</v>
      </c>
      <c r="L75" s="11"/>
    </row>
    <row r="76" ht="22.5" customHeight="1">
      <c r="A76" s="7" t="s">
        <v>213</v>
      </c>
      <c r="B76" s="8" t="s">
        <v>171</v>
      </c>
      <c r="C76" s="9">
        <v>3.1</v>
      </c>
      <c r="D76" s="8" t="s">
        <v>20</v>
      </c>
      <c r="E76" s="7">
        <v>31.0</v>
      </c>
      <c r="F76" s="7">
        <v>23.0</v>
      </c>
      <c r="G76" s="7">
        <v>35.0</v>
      </c>
      <c r="H76" s="10">
        <v>26.0</v>
      </c>
      <c r="I76" s="10">
        <v>5.0</v>
      </c>
      <c r="J76" s="10" t="s">
        <v>214</v>
      </c>
      <c r="K76" s="11" t="str">
        <f t="shared" si="1"/>
        <v>Floor 3|3.1</v>
      </c>
      <c r="L76" s="11"/>
    </row>
    <row r="77" ht="22.5" customHeight="1">
      <c r="A77" s="7" t="s">
        <v>215</v>
      </c>
      <c r="B77" s="8" t="s">
        <v>171</v>
      </c>
      <c r="C77" s="9">
        <v>3.2</v>
      </c>
      <c r="D77" s="8" t="s">
        <v>20</v>
      </c>
      <c r="E77" s="7">
        <v>31.0</v>
      </c>
      <c r="F77" s="7">
        <v>23.0</v>
      </c>
      <c r="G77" s="7">
        <v>33.0</v>
      </c>
      <c r="H77" s="10">
        <v>28.0</v>
      </c>
      <c r="I77" s="10">
        <v>5.385</v>
      </c>
      <c r="J77" s="10" t="s">
        <v>216</v>
      </c>
      <c r="K77" s="11" t="str">
        <f t="shared" si="1"/>
        <v>Floor 3|3.2</v>
      </c>
      <c r="L77" s="11"/>
    </row>
    <row r="78" ht="22.5" customHeight="1">
      <c r="A78" s="7" t="s">
        <v>217</v>
      </c>
      <c r="B78" s="8" t="s">
        <v>171</v>
      </c>
      <c r="C78" s="9">
        <v>3.2</v>
      </c>
      <c r="D78" s="8" t="s">
        <v>20</v>
      </c>
      <c r="E78" s="7">
        <v>31.0</v>
      </c>
      <c r="F78" s="7">
        <v>23.0</v>
      </c>
      <c r="G78" s="7">
        <v>32.0</v>
      </c>
      <c r="H78" s="10">
        <v>26.0</v>
      </c>
      <c r="I78" s="10">
        <v>3.162</v>
      </c>
      <c r="J78" s="10" t="s">
        <v>218</v>
      </c>
      <c r="K78" s="11" t="str">
        <f t="shared" si="1"/>
        <v>Floor 3|3.2</v>
      </c>
      <c r="L78" s="11"/>
    </row>
    <row r="79" ht="22.5" customHeight="1">
      <c r="A79" s="7" t="s">
        <v>219</v>
      </c>
      <c r="B79" s="8" t="s">
        <v>171</v>
      </c>
      <c r="C79" s="9">
        <v>3.2</v>
      </c>
      <c r="D79" s="8" t="s">
        <v>20</v>
      </c>
      <c r="E79" s="7">
        <v>31.0</v>
      </c>
      <c r="F79" s="7">
        <v>23.0</v>
      </c>
      <c r="G79" s="7">
        <v>34.0</v>
      </c>
      <c r="H79" s="10">
        <v>26.0</v>
      </c>
      <c r="I79" s="10">
        <v>4.243</v>
      </c>
      <c r="J79" s="10" t="s">
        <v>220</v>
      </c>
      <c r="K79" s="11" t="str">
        <f t="shared" si="1"/>
        <v>Floor 3|3.2</v>
      </c>
      <c r="L79" s="11"/>
    </row>
    <row r="80" ht="22.5" customHeight="1">
      <c r="A80" s="7" t="s">
        <v>221</v>
      </c>
      <c r="B80" s="8" t="s">
        <v>171</v>
      </c>
      <c r="C80" s="9" t="s">
        <v>95</v>
      </c>
      <c r="D80" s="8" t="s">
        <v>39</v>
      </c>
      <c r="E80" s="7">
        <v>31.0</v>
      </c>
      <c r="F80" s="7">
        <v>23.0</v>
      </c>
      <c r="G80" s="7">
        <v>45.0</v>
      </c>
      <c r="H80" s="10">
        <v>29.0</v>
      </c>
      <c r="I80" s="10">
        <v>15.232</v>
      </c>
      <c r="J80" s="10" t="s">
        <v>222</v>
      </c>
      <c r="K80" s="11" t="str">
        <f t="shared" si="1"/>
        <v>Floor 3|3_pano</v>
      </c>
      <c r="L80" s="11"/>
    </row>
    <row r="81" ht="22.5" customHeight="1">
      <c r="A81" s="7" t="s">
        <v>223</v>
      </c>
      <c r="B81" s="8" t="s">
        <v>171</v>
      </c>
      <c r="C81" s="9" t="s">
        <v>95</v>
      </c>
      <c r="D81" s="8" t="s">
        <v>39</v>
      </c>
      <c r="E81" s="7">
        <v>31.0</v>
      </c>
      <c r="F81" s="7">
        <v>23.0</v>
      </c>
      <c r="G81" s="7">
        <v>39.0</v>
      </c>
      <c r="H81" s="10">
        <v>27.0</v>
      </c>
      <c r="I81" s="10">
        <v>8.944</v>
      </c>
      <c r="J81" s="10" t="s">
        <v>224</v>
      </c>
      <c r="K81" s="11" t="str">
        <f t="shared" si="1"/>
        <v>Floor 3|3_pano</v>
      </c>
      <c r="L81" s="11"/>
    </row>
    <row r="82" ht="22.5" customHeight="1">
      <c r="A82" s="7" t="s">
        <v>225</v>
      </c>
      <c r="B82" s="8" t="s">
        <v>171</v>
      </c>
      <c r="C82" s="9" t="s">
        <v>95</v>
      </c>
      <c r="D82" s="8" t="s">
        <v>39</v>
      </c>
      <c r="E82" s="7">
        <v>31.0</v>
      </c>
      <c r="F82" s="7">
        <v>23.0</v>
      </c>
      <c r="G82" s="7">
        <v>35.0</v>
      </c>
      <c r="H82" s="10">
        <v>26.0</v>
      </c>
      <c r="I82" s="10">
        <v>5.0</v>
      </c>
      <c r="J82" s="10" t="s">
        <v>226</v>
      </c>
      <c r="K82" s="11" t="str">
        <f t="shared" si="1"/>
        <v>Floor 3|3_pano</v>
      </c>
      <c r="L82" s="11"/>
    </row>
    <row r="83" ht="22.5" customHeight="1">
      <c r="A83" s="7" t="s">
        <v>227</v>
      </c>
      <c r="B83" s="8" t="s">
        <v>171</v>
      </c>
      <c r="C83" s="9">
        <v>4.1</v>
      </c>
      <c r="D83" s="8" t="s">
        <v>20</v>
      </c>
      <c r="E83" s="7">
        <v>30.0</v>
      </c>
      <c r="F83" s="7">
        <v>17.0</v>
      </c>
      <c r="G83" s="7">
        <v>44.0</v>
      </c>
      <c r="H83" s="10">
        <v>30.0</v>
      </c>
      <c r="I83" s="10">
        <v>19.105</v>
      </c>
      <c r="J83" s="10" t="s">
        <v>228</v>
      </c>
      <c r="K83" s="11" t="str">
        <f t="shared" si="1"/>
        <v>Floor 3|4.1</v>
      </c>
      <c r="L83" s="11"/>
    </row>
    <row r="84" ht="22.5" customHeight="1">
      <c r="A84" s="7" t="s">
        <v>229</v>
      </c>
      <c r="B84" s="8" t="s">
        <v>171</v>
      </c>
      <c r="C84" s="9">
        <v>4.1</v>
      </c>
      <c r="D84" s="8" t="s">
        <v>20</v>
      </c>
      <c r="E84" s="7">
        <v>30.0</v>
      </c>
      <c r="F84" s="7">
        <v>17.0</v>
      </c>
      <c r="G84" s="7">
        <v>44.0</v>
      </c>
      <c r="H84" s="10">
        <v>28.0</v>
      </c>
      <c r="I84" s="10">
        <v>17.804</v>
      </c>
      <c r="J84" s="10" t="s">
        <v>230</v>
      </c>
      <c r="K84" s="11" t="str">
        <f t="shared" si="1"/>
        <v>Floor 3|4.1</v>
      </c>
      <c r="L84" s="11"/>
    </row>
    <row r="85" ht="22.5" customHeight="1">
      <c r="A85" s="7" t="s">
        <v>231</v>
      </c>
      <c r="B85" s="8" t="s">
        <v>171</v>
      </c>
      <c r="C85" s="9">
        <v>4.1</v>
      </c>
      <c r="D85" s="8" t="s">
        <v>20</v>
      </c>
      <c r="E85" s="7">
        <v>30.0</v>
      </c>
      <c r="F85" s="7">
        <v>17.0</v>
      </c>
      <c r="G85" s="7">
        <v>44.0</v>
      </c>
      <c r="H85" s="10">
        <v>29.0</v>
      </c>
      <c r="I85" s="10">
        <v>18.439</v>
      </c>
      <c r="J85" s="10" t="s">
        <v>232</v>
      </c>
      <c r="K85" s="11" t="str">
        <f t="shared" si="1"/>
        <v>Floor 3|4.1</v>
      </c>
      <c r="L85" s="11"/>
    </row>
    <row r="86" ht="22.5" customHeight="1">
      <c r="A86" s="7" t="s">
        <v>233</v>
      </c>
      <c r="B86" s="8" t="s">
        <v>171</v>
      </c>
      <c r="C86" s="9">
        <v>4.2</v>
      </c>
      <c r="D86" s="8" t="s">
        <v>20</v>
      </c>
      <c r="E86" s="7">
        <v>30.0</v>
      </c>
      <c r="F86" s="7">
        <v>17.0</v>
      </c>
      <c r="G86" s="7">
        <v>20.0</v>
      </c>
      <c r="H86" s="10">
        <v>21.0</v>
      </c>
      <c r="I86" s="10">
        <v>10.77</v>
      </c>
      <c r="J86" s="10" t="s">
        <v>234</v>
      </c>
      <c r="K86" s="11" t="str">
        <f t="shared" si="1"/>
        <v>Floor 3|4.2</v>
      </c>
      <c r="L86" s="11"/>
    </row>
    <row r="87" ht="22.5" customHeight="1">
      <c r="A87" s="7" t="s">
        <v>235</v>
      </c>
      <c r="B87" s="8" t="s">
        <v>171</v>
      </c>
      <c r="C87" s="9">
        <v>4.2</v>
      </c>
      <c r="D87" s="8" t="s">
        <v>20</v>
      </c>
      <c r="E87" s="7">
        <v>30.0</v>
      </c>
      <c r="F87" s="7">
        <v>17.0</v>
      </c>
      <c r="G87" s="7">
        <v>32.0</v>
      </c>
      <c r="H87" s="10">
        <v>21.0</v>
      </c>
      <c r="I87" s="10">
        <v>4.472</v>
      </c>
      <c r="J87" s="10" t="s">
        <v>236</v>
      </c>
      <c r="K87" s="11" t="str">
        <f t="shared" si="1"/>
        <v>Floor 3|4.2</v>
      </c>
      <c r="L87" s="11"/>
    </row>
    <row r="88" ht="22.5" customHeight="1">
      <c r="A88" s="7" t="s">
        <v>237</v>
      </c>
      <c r="B88" s="8" t="s">
        <v>171</v>
      </c>
      <c r="C88" s="9">
        <v>4.2</v>
      </c>
      <c r="D88" s="8" t="s">
        <v>20</v>
      </c>
      <c r="E88" s="7">
        <v>30.0</v>
      </c>
      <c r="F88" s="7">
        <v>17.0</v>
      </c>
      <c r="G88" s="7">
        <v>19.0</v>
      </c>
      <c r="H88" s="10">
        <v>20.0</v>
      </c>
      <c r="I88" s="10">
        <v>11.402</v>
      </c>
      <c r="J88" s="10" t="s">
        <v>238</v>
      </c>
      <c r="K88" s="11" t="str">
        <f t="shared" si="1"/>
        <v>Floor 3|4.2</v>
      </c>
      <c r="L88" s="11"/>
    </row>
    <row r="89" ht="22.5" customHeight="1">
      <c r="A89" s="7" t="s">
        <v>239</v>
      </c>
      <c r="B89" s="8" t="s">
        <v>171</v>
      </c>
      <c r="C89" s="9" t="s">
        <v>123</v>
      </c>
      <c r="D89" s="8" t="s">
        <v>39</v>
      </c>
      <c r="E89" s="7">
        <v>30.0</v>
      </c>
      <c r="F89" s="7">
        <v>17.0</v>
      </c>
      <c r="G89" s="7">
        <v>41.0</v>
      </c>
      <c r="H89" s="10">
        <v>28.0</v>
      </c>
      <c r="I89" s="10">
        <v>15.556</v>
      </c>
      <c r="J89" s="10" t="s">
        <v>240</v>
      </c>
      <c r="K89" s="11" t="str">
        <f t="shared" si="1"/>
        <v>Floor 3|4.pano</v>
      </c>
      <c r="L89" s="11"/>
    </row>
    <row r="90" ht="22.5" customHeight="1">
      <c r="A90" s="7" t="s">
        <v>241</v>
      </c>
      <c r="B90" s="8" t="s">
        <v>171</v>
      </c>
      <c r="C90" s="9" t="s">
        <v>123</v>
      </c>
      <c r="D90" s="8" t="s">
        <v>39</v>
      </c>
      <c r="E90" s="7">
        <v>30.0</v>
      </c>
      <c r="F90" s="7">
        <v>17.0</v>
      </c>
      <c r="G90" s="7">
        <v>45.0</v>
      </c>
      <c r="H90" s="10">
        <v>30.0</v>
      </c>
      <c r="I90" s="10">
        <v>19.849</v>
      </c>
      <c r="J90" s="10" t="s">
        <v>242</v>
      </c>
      <c r="K90" s="11" t="str">
        <f t="shared" si="1"/>
        <v>Floor 3|4.pano</v>
      </c>
      <c r="L90" s="11"/>
    </row>
    <row r="91" ht="22.5" customHeight="1">
      <c r="A91" s="7" t="s">
        <v>243</v>
      </c>
      <c r="B91" s="8" t="s">
        <v>171</v>
      </c>
      <c r="C91" s="9" t="s">
        <v>123</v>
      </c>
      <c r="D91" s="8" t="s">
        <v>39</v>
      </c>
      <c r="E91" s="7">
        <v>30.0</v>
      </c>
      <c r="F91" s="7">
        <v>17.0</v>
      </c>
      <c r="G91" s="7">
        <v>41.0</v>
      </c>
      <c r="H91" s="10">
        <v>31.0</v>
      </c>
      <c r="I91" s="10">
        <v>17.804</v>
      </c>
      <c r="J91" s="10" t="s">
        <v>244</v>
      </c>
      <c r="K91" s="11" t="str">
        <f t="shared" si="1"/>
        <v>Floor 3|4.pano</v>
      </c>
      <c r="L91" s="11"/>
    </row>
    <row r="92" ht="22.5" customHeight="1">
      <c r="A92" s="7" t="s">
        <v>245</v>
      </c>
      <c r="B92" s="8" t="s">
        <v>171</v>
      </c>
      <c r="C92" s="9">
        <v>5.1</v>
      </c>
      <c r="D92" s="8" t="s">
        <v>20</v>
      </c>
      <c r="E92" s="7">
        <v>40.0</v>
      </c>
      <c r="F92" s="7">
        <v>31.0</v>
      </c>
      <c r="G92" s="7">
        <v>32.0</v>
      </c>
      <c r="H92" s="10">
        <v>38.0</v>
      </c>
      <c r="I92" s="10">
        <v>10.63</v>
      </c>
      <c r="J92" s="10" t="s">
        <v>246</v>
      </c>
      <c r="K92" s="11" t="str">
        <f t="shared" si="1"/>
        <v>Floor 3|5.1</v>
      </c>
      <c r="L92" s="11"/>
    </row>
    <row r="93" ht="22.5" customHeight="1">
      <c r="A93" s="7" t="s">
        <v>247</v>
      </c>
      <c r="B93" s="8" t="s">
        <v>171</v>
      </c>
      <c r="C93" s="9">
        <v>5.1</v>
      </c>
      <c r="D93" s="8" t="s">
        <v>20</v>
      </c>
      <c r="E93" s="7">
        <v>40.0</v>
      </c>
      <c r="F93" s="7">
        <v>31.0</v>
      </c>
      <c r="G93" s="7">
        <v>29.0</v>
      </c>
      <c r="H93" s="10">
        <v>36.0</v>
      </c>
      <c r="I93" s="10">
        <v>12.083</v>
      </c>
      <c r="J93" s="10" t="s">
        <v>248</v>
      </c>
      <c r="K93" s="11" t="str">
        <f t="shared" si="1"/>
        <v>Floor 3|5.1</v>
      </c>
      <c r="L93" s="11"/>
    </row>
    <row r="94" ht="22.5" customHeight="1">
      <c r="A94" s="7" t="s">
        <v>249</v>
      </c>
      <c r="B94" s="8" t="s">
        <v>171</v>
      </c>
      <c r="C94" s="9">
        <v>5.1</v>
      </c>
      <c r="D94" s="8" t="s">
        <v>20</v>
      </c>
      <c r="E94" s="7">
        <v>40.0</v>
      </c>
      <c r="F94" s="7">
        <v>31.0</v>
      </c>
      <c r="G94" s="7">
        <v>31.0</v>
      </c>
      <c r="H94" s="10">
        <v>39.0</v>
      </c>
      <c r="I94" s="10">
        <v>12.042</v>
      </c>
      <c r="J94" s="10" t="s">
        <v>250</v>
      </c>
      <c r="K94" s="11" t="str">
        <f t="shared" si="1"/>
        <v>Floor 3|5.1</v>
      </c>
      <c r="L94" s="11"/>
    </row>
    <row r="95" ht="22.5" customHeight="1">
      <c r="A95" s="7" t="s">
        <v>251</v>
      </c>
      <c r="B95" s="8" t="s">
        <v>171</v>
      </c>
      <c r="C95" s="9">
        <v>5.2</v>
      </c>
      <c r="D95" s="8" t="s">
        <v>20</v>
      </c>
      <c r="E95" s="7">
        <v>40.0</v>
      </c>
      <c r="F95" s="7">
        <v>31.0</v>
      </c>
      <c r="G95" s="7">
        <v>38.0</v>
      </c>
      <c r="H95" s="10">
        <v>23.0</v>
      </c>
      <c r="I95" s="10">
        <v>8.246</v>
      </c>
      <c r="J95" s="10" t="s">
        <v>252</v>
      </c>
      <c r="K95" s="11" t="str">
        <f t="shared" si="1"/>
        <v>Floor 3|5.2</v>
      </c>
      <c r="L95" s="11"/>
    </row>
    <row r="96" ht="22.5" customHeight="1">
      <c r="A96" s="7" t="s">
        <v>253</v>
      </c>
      <c r="B96" s="8" t="s">
        <v>171</v>
      </c>
      <c r="C96" s="9">
        <v>5.2</v>
      </c>
      <c r="D96" s="8" t="s">
        <v>20</v>
      </c>
      <c r="E96" s="7">
        <v>40.0</v>
      </c>
      <c r="F96" s="7">
        <v>31.0</v>
      </c>
      <c r="G96" s="7">
        <v>37.0</v>
      </c>
      <c r="H96" s="10">
        <v>29.0</v>
      </c>
      <c r="I96" s="10">
        <v>3.606</v>
      </c>
      <c r="J96" s="10" t="s">
        <v>254</v>
      </c>
      <c r="K96" s="11" t="str">
        <f t="shared" si="1"/>
        <v>Floor 3|5.2</v>
      </c>
      <c r="L96" s="11"/>
    </row>
    <row r="97" ht="22.5" customHeight="1">
      <c r="A97" s="7" t="s">
        <v>255</v>
      </c>
      <c r="B97" s="8" t="s">
        <v>171</v>
      </c>
      <c r="C97" s="9">
        <v>5.2</v>
      </c>
      <c r="D97" s="8" t="s">
        <v>20</v>
      </c>
      <c r="E97" s="7">
        <v>40.0</v>
      </c>
      <c r="F97" s="7">
        <v>31.0</v>
      </c>
      <c r="G97" s="7">
        <v>35.0</v>
      </c>
      <c r="H97" s="10">
        <v>27.0</v>
      </c>
      <c r="I97" s="10">
        <v>6.403</v>
      </c>
      <c r="J97" s="10" t="s">
        <v>256</v>
      </c>
      <c r="K97" s="11" t="str">
        <f t="shared" si="1"/>
        <v>Floor 3|5.2</v>
      </c>
      <c r="L97" s="11"/>
    </row>
    <row r="98" ht="22.5" customHeight="1">
      <c r="A98" s="7" t="s">
        <v>257</v>
      </c>
      <c r="B98" s="8" t="s">
        <v>171</v>
      </c>
      <c r="C98" s="9" t="s">
        <v>145</v>
      </c>
      <c r="D98" s="8" t="s">
        <v>39</v>
      </c>
      <c r="E98" s="7">
        <v>40.0</v>
      </c>
      <c r="F98" s="7">
        <v>31.0</v>
      </c>
      <c r="G98" s="7">
        <v>42.0</v>
      </c>
      <c r="H98" s="10">
        <v>24.0</v>
      </c>
      <c r="I98" s="10">
        <v>7.28</v>
      </c>
      <c r="J98" s="10" t="s">
        <v>258</v>
      </c>
      <c r="K98" s="11" t="str">
        <f t="shared" si="1"/>
        <v>Floor 3|5.pano</v>
      </c>
      <c r="L98" s="11"/>
    </row>
    <row r="99" ht="22.5" customHeight="1">
      <c r="A99" s="7" t="s">
        <v>259</v>
      </c>
      <c r="B99" s="8" t="s">
        <v>171</v>
      </c>
      <c r="C99" s="9" t="s">
        <v>145</v>
      </c>
      <c r="D99" s="8" t="s">
        <v>39</v>
      </c>
      <c r="E99" s="7">
        <v>40.0</v>
      </c>
      <c r="F99" s="7">
        <v>31.0</v>
      </c>
      <c r="G99" s="7">
        <v>30.0</v>
      </c>
      <c r="H99" s="10">
        <v>23.0</v>
      </c>
      <c r="I99" s="10">
        <v>12.806</v>
      </c>
      <c r="J99" s="10" t="s">
        <v>260</v>
      </c>
      <c r="K99" s="11" t="str">
        <f t="shared" si="1"/>
        <v>Floor 3|5.pano</v>
      </c>
      <c r="L99" s="11"/>
    </row>
    <row r="100" ht="22.5" customHeight="1">
      <c r="A100" s="7" t="s">
        <v>261</v>
      </c>
      <c r="B100" s="8" t="s">
        <v>171</v>
      </c>
      <c r="C100" s="9" t="s">
        <v>145</v>
      </c>
      <c r="D100" s="8" t="s">
        <v>39</v>
      </c>
      <c r="E100" s="7">
        <v>40.0</v>
      </c>
      <c r="F100" s="7">
        <v>31.0</v>
      </c>
      <c r="G100" s="7">
        <v>44.0</v>
      </c>
      <c r="H100" s="10">
        <v>26.0</v>
      </c>
      <c r="I100" s="10">
        <v>6.403</v>
      </c>
      <c r="J100" s="10" t="s">
        <v>262</v>
      </c>
      <c r="K100" s="11" t="str">
        <f t="shared" si="1"/>
        <v>Floor 3|5.pano</v>
      </c>
      <c r="L100" s="11"/>
    </row>
    <row r="101" ht="22.5" customHeight="1">
      <c r="A101" s="7" t="s">
        <v>263</v>
      </c>
      <c r="B101" s="8" t="s">
        <v>171</v>
      </c>
      <c r="C101" s="9">
        <v>6.1</v>
      </c>
      <c r="D101" s="8" t="s">
        <v>20</v>
      </c>
      <c r="E101" s="7">
        <v>48.0</v>
      </c>
      <c r="F101" s="7">
        <v>25.0</v>
      </c>
      <c r="G101" s="7">
        <v>38.0</v>
      </c>
      <c r="H101" s="10">
        <v>21.0</v>
      </c>
      <c r="I101" s="10">
        <v>10.77</v>
      </c>
      <c r="J101" s="10" t="s">
        <v>264</v>
      </c>
      <c r="K101" s="11" t="str">
        <f t="shared" si="1"/>
        <v>Floor 3|6.1</v>
      </c>
      <c r="L101" s="11"/>
    </row>
    <row r="102" ht="22.5" customHeight="1">
      <c r="A102" s="7" t="s">
        <v>265</v>
      </c>
      <c r="B102" s="8" t="s">
        <v>171</v>
      </c>
      <c r="C102" s="9">
        <v>6.1</v>
      </c>
      <c r="D102" s="8" t="s">
        <v>20</v>
      </c>
      <c r="E102" s="7">
        <v>48.0</v>
      </c>
      <c r="F102" s="7">
        <v>25.0</v>
      </c>
      <c r="G102" s="7">
        <v>39.0</v>
      </c>
      <c r="H102" s="10">
        <v>22.0</v>
      </c>
      <c r="I102" s="10">
        <v>9.487</v>
      </c>
      <c r="J102" s="10" t="s">
        <v>266</v>
      </c>
      <c r="K102" s="11" t="str">
        <f t="shared" si="1"/>
        <v>Floor 3|6.1</v>
      </c>
      <c r="L102" s="11"/>
    </row>
    <row r="103" ht="22.5" customHeight="1">
      <c r="A103" s="7" t="s">
        <v>267</v>
      </c>
      <c r="B103" s="8" t="s">
        <v>171</v>
      </c>
      <c r="C103" s="9">
        <v>6.1</v>
      </c>
      <c r="D103" s="8" t="s">
        <v>20</v>
      </c>
      <c r="E103" s="7">
        <v>48.0</v>
      </c>
      <c r="F103" s="7">
        <v>25.0</v>
      </c>
      <c r="G103" s="7">
        <v>39.0</v>
      </c>
      <c r="H103" s="10">
        <v>22.0</v>
      </c>
      <c r="I103" s="10">
        <v>9.487</v>
      </c>
      <c r="J103" s="10" t="s">
        <v>268</v>
      </c>
      <c r="K103" s="11" t="str">
        <f t="shared" si="1"/>
        <v>Floor 3|6.1</v>
      </c>
      <c r="L103" s="11"/>
    </row>
    <row r="104" ht="22.5" customHeight="1">
      <c r="A104" s="7" t="s">
        <v>269</v>
      </c>
      <c r="B104" s="8" t="s">
        <v>171</v>
      </c>
      <c r="C104" s="9">
        <v>6.2</v>
      </c>
      <c r="D104" s="8" t="s">
        <v>20</v>
      </c>
      <c r="E104" s="7">
        <v>48.0</v>
      </c>
      <c r="F104" s="7">
        <v>25.0</v>
      </c>
      <c r="G104" s="7">
        <v>39.0</v>
      </c>
      <c r="H104" s="10">
        <v>22.0</v>
      </c>
      <c r="I104" s="10">
        <v>9.487</v>
      </c>
      <c r="J104" s="10" t="s">
        <v>270</v>
      </c>
      <c r="K104" s="11" t="str">
        <f t="shared" si="1"/>
        <v>Floor 3|6.2</v>
      </c>
      <c r="L104" s="11"/>
    </row>
    <row r="105" ht="22.5" customHeight="1">
      <c r="A105" s="7" t="s">
        <v>271</v>
      </c>
      <c r="B105" s="8" t="s">
        <v>171</v>
      </c>
      <c r="C105" s="9">
        <v>6.2</v>
      </c>
      <c r="D105" s="8" t="s">
        <v>20</v>
      </c>
      <c r="E105" s="7">
        <v>48.0</v>
      </c>
      <c r="F105" s="7">
        <v>25.0</v>
      </c>
      <c r="G105" s="7">
        <v>39.0</v>
      </c>
      <c r="H105" s="10">
        <v>20.0</v>
      </c>
      <c r="I105" s="10">
        <v>10.296</v>
      </c>
      <c r="J105" s="10" t="s">
        <v>272</v>
      </c>
      <c r="K105" s="11" t="str">
        <f t="shared" si="1"/>
        <v>Floor 3|6.2</v>
      </c>
      <c r="L105" s="11"/>
    </row>
    <row r="106" ht="22.5" customHeight="1">
      <c r="A106" s="7" t="s">
        <v>273</v>
      </c>
      <c r="B106" s="8" t="s">
        <v>171</v>
      </c>
      <c r="C106" s="9">
        <v>6.2</v>
      </c>
      <c r="D106" s="8" t="s">
        <v>20</v>
      </c>
      <c r="E106" s="7">
        <v>48.0</v>
      </c>
      <c r="F106" s="7">
        <v>25.0</v>
      </c>
      <c r="G106" s="7">
        <v>38.0</v>
      </c>
      <c r="H106" s="10">
        <v>21.0</v>
      </c>
      <c r="I106" s="10">
        <v>10.77</v>
      </c>
      <c r="J106" s="10" t="s">
        <v>274</v>
      </c>
      <c r="K106" s="11" t="str">
        <f t="shared" si="1"/>
        <v>Floor 3|6.2</v>
      </c>
      <c r="L106" s="11"/>
    </row>
    <row r="107" ht="22.5" customHeight="1">
      <c r="A107" s="7" t="s">
        <v>275</v>
      </c>
      <c r="B107" s="8" t="s">
        <v>171</v>
      </c>
      <c r="C107" s="9" t="s">
        <v>164</v>
      </c>
      <c r="D107" s="8" t="s">
        <v>39</v>
      </c>
      <c r="E107" s="7">
        <v>48.0</v>
      </c>
      <c r="F107" s="7">
        <v>25.0</v>
      </c>
      <c r="G107" s="7">
        <v>39.0</v>
      </c>
      <c r="H107" s="10">
        <v>21.0</v>
      </c>
      <c r="I107" s="10">
        <v>9.849</v>
      </c>
      <c r="J107" s="10" t="s">
        <v>276</v>
      </c>
      <c r="K107" s="11" t="str">
        <f t="shared" si="1"/>
        <v>Floor 3|6_pano</v>
      </c>
      <c r="L107" s="11"/>
    </row>
    <row r="108" ht="22.5" customHeight="1">
      <c r="A108" s="7" t="s">
        <v>277</v>
      </c>
      <c r="B108" s="8" t="s">
        <v>171</v>
      </c>
      <c r="C108" s="9" t="s">
        <v>164</v>
      </c>
      <c r="D108" s="8" t="s">
        <v>39</v>
      </c>
      <c r="E108" s="7">
        <v>48.0</v>
      </c>
      <c r="F108" s="7">
        <v>25.0</v>
      </c>
      <c r="G108" s="7">
        <v>38.0</v>
      </c>
      <c r="H108" s="10">
        <v>20.0</v>
      </c>
      <c r="I108" s="10">
        <v>11.18</v>
      </c>
      <c r="J108" s="10" t="s">
        <v>278</v>
      </c>
      <c r="K108" s="11" t="str">
        <f t="shared" si="1"/>
        <v>Floor 3|6_pano</v>
      </c>
      <c r="L108" s="11"/>
    </row>
    <row r="109" ht="22.5" customHeight="1">
      <c r="A109" s="7" t="s">
        <v>279</v>
      </c>
      <c r="B109" s="8" t="s">
        <v>171</v>
      </c>
      <c r="C109" s="9" t="s">
        <v>164</v>
      </c>
      <c r="D109" s="8" t="s">
        <v>39</v>
      </c>
      <c r="E109" s="7">
        <v>48.0</v>
      </c>
      <c r="F109" s="7">
        <v>25.0</v>
      </c>
      <c r="G109" s="7">
        <v>40.0</v>
      </c>
      <c r="H109" s="10">
        <v>21.0</v>
      </c>
      <c r="I109" s="10">
        <v>8.944</v>
      </c>
      <c r="J109" s="10" t="s">
        <v>280</v>
      </c>
      <c r="K109" s="11" t="str">
        <f t="shared" si="1"/>
        <v>Floor 3|6_pano</v>
      </c>
      <c r="L109" s="11"/>
    </row>
  </sheetData>
  <dataValidations>
    <dataValidation type="list" allowBlank="1" sqref="B2:B109">
      <formula1>"Floor 3,Floor 5"</formula1>
    </dataValidation>
    <dataValidation type="list" allowBlank="1" sqref="D2:D109">
      <formula1>"Wide,Panorama"</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5" max="5" width="13.63"/>
    <col customWidth="1" min="6" max="6" width="14.13"/>
    <col customWidth="1" min="7" max="7" width="16.25"/>
    <col customWidth="1" min="8" max="8" width="16.75"/>
    <col customWidth="1" min="9" max="9" width="17.0"/>
    <col customWidth="1" min="10" max="11" width="19.63"/>
    <col customWidth="1" min="16" max="22" width="20.88"/>
  </cols>
  <sheetData>
    <row r="1" ht="22.5" customHeight="1">
      <c r="A1" s="2" t="s">
        <v>0</v>
      </c>
      <c r="B1" s="2" t="s">
        <v>1</v>
      </c>
      <c r="C1" s="2" t="s">
        <v>2</v>
      </c>
      <c r="D1" s="2" t="s">
        <v>3</v>
      </c>
      <c r="E1" s="2" t="s">
        <v>4</v>
      </c>
      <c r="F1" s="2" t="s">
        <v>5</v>
      </c>
      <c r="G1" s="2" t="s">
        <v>6</v>
      </c>
      <c r="H1" s="2" t="s">
        <v>7</v>
      </c>
      <c r="I1" s="3" t="s">
        <v>8</v>
      </c>
      <c r="J1" s="3" t="s">
        <v>9</v>
      </c>
      <c r="K1" s="4" t="s">
        <v>10</v>
      </c>
      <c r="L1" s="13" t="s">
        <v>281</v>
      </c>
      <c r="M1" s="4" t="s">
        <v>12</v>
      </c>
      <c r="N1" s="13" t="s">
        <v>282</v>
      </c>
      <c r="O1" s="13" t="s">
        <v>283</v>
      </c>
      <c r="P1" s="13" t="s">
        <v>284</v>
      </c>
      <c r="Q1" s="13" t="s">
        <v>285</v>
      </c>
      <c r="R1" s="13" t="s">
        <v>286</v>
      </c>
      <c r="S1" s="13" t="s">
        <v>287</v>
      </c>
      <c r="T1" s="13" t="s">
        <v>288</v>
      </c>
      <c r="U1" s="14" t="s">
        <v>289</v>
      </c>
      <c r="V1" s="13" t="s">
        <v>290</v>
      </c>
    </row>
    <row r="2" ht="22.5" customHeight="1">
      <c r="A2" s="7" t="s">
        <v>291</v>
      </c>
      <c r="B2" s="8" t="s">
        <v>19</v>
      </c>
      <c r="C2" s="9">
        <v>1.1</v>
      </c>
      <c r="D2" s="8" t="s">
        <v>20</v>
      </c>
      <c r="E2" s="7">
        <v>39.0</v>
      </c>
      <c r="F2" s="7">
        <v>15.0</v>
      </c>
      <c r="G2" s="7">
        <v>36.0</v>
      </c>
      <c r="H2" s="10">
        <v>17.0</v>
      </c>
      <c r="I2" s="10">
        <v>3.606</v>
      </c>
      <c r="J2" s="10" t="s">
        <v>292</v>
      </c>
      <c r="K2" s="11" t="str">
        <f t="shared" ref="K2:K109" si="1">B2&amp;"|"&amp;C2</f>
        <v>Floor 5|1.1</v>
      </c>
      <c r="M2" s="15" t="str">
        <f t="array" ref="M2:M37">UNIQUE(K2:K109)</f>
        <v>Floor 5|1.1</v>
      </c>
      <c r="N2" s="15">
        <f>IFERROR(__xludf.DUMMYFUNCTION("MIN(FILTER($I$2:$I109,$K$2:$K109=M2))"),2.828)</f>
        <v>2.828</v>
      </c>
      <c r="O2" s="15">
        <f>IFERROR(__xludf.DUMMYFUNCTION("MAX(FILTER($I$2:$I109,$K$2:$K109=M2))"),3.606)</f>
        <v>3.606</v>
      </c>
      <c r="P2" s="15">
        <f t="shared" ref="P2:P37" si="2">O2-N2</f>
        <v>0.778</v>
      </c>
      <c r="R2" s="15">
        <f>COUNTIF(P2:P109,"&gt;0")</f>
        <v>33</v>
      </c>
      <c r="S2" s="15">
        <f>COUNTIF(P2:P109,"&gt;0")/COUNTA(M2:M109)</f>
        <v>0.9166666667</v>
      </c>
      <c r="U2" s="16"/>
    </row>
    <row r="3" ht="22.5" customHeight="1">
      <c r="A3" s="7" t="s">
        <v>293</v>
      </c>
      <c r="B3" s="8" t="s">
        <v>19</v>
      </c>
      <c r="C3" s="9">
        <v>1.1</v>
      </c>
      <c r="D3" s="8" t="s">
        <v>20</v>
      </c>
      <c r="E3" s="7">
        <v>39.0</v>
      </c>
      <c r="F3" s="7">
        <v>15.0</v>
      </c>
      <c r="G3" s="7">
        <v>37.0</v>
      </c>
      <c r="H3" s="10">
        <v>17.0</v>
      </c>
      <c r="I3" s="10">
        <v>2.828</v>
      </c>
      <c r="J3" s="10" t="s">
        <v>294</v>
      </c>
      <c r="K3" s="11" t="str">
        <f t="shared" si="1"/>
        <v>Floor 5|1.1</v>
      </c>
      <c r="M3" s="15" t="s">
        <v>24</v>
      </c>
      <c r="N3" s="15">
        <f>IFERROR(__xludf.DUMMYFUNCTION("MIN(FILTER($I$2:$I109,$K$2:$K109=M3))"),5.831)</f>
        <v>5.831</v>
      </c>
      <c r="O3" s="15">
        <f>IFERROR(__xludf.DUMMYFUNCTION("MAX(FILTER($I$2:$I109,$K$2:$K109=M3))"),7.81)</f>
        <v>7.81</v>
      </c>
      <c r="P3" s="15">
        <f t="shared" si="2"/>
        <v>1.979</v>
      </c>
      <c r="R3" s="15">
        <f>COUNTIF(P2:P109,"&gt;1")</f>
        <v>18</v>
      </c>
      <c r="S3" s="15">
        <f>COUNTIF(P2:P109,"&gt;1")/COUNTA(M2:M109)</f>
        <v>0.5</v>
      </c>
      <c r="U3" s="17"/>
    </row>
    <row r="4" ht="22.5" customHeight="1">
      <c r="A4" s="7" t="s">
        <v>295</v>
      </c>
      <c r="B4" s="8" t="s">
        <v>19</v>
      </c>
      <c r="C4" s="9">
        <v>1.1</v>
      </c>
      <c r="D4" s="8" t="s">
        <v>20</v>
      </c>
      <c r="E4" s="7">
        <v>39.0</v>
      </c>
      <c r="F4" s="7">
        <v>15.0</v>
      </c>
      <c r="G4" s="7">
        <v>37.0</v>
      </c>
      <c r="H4" s="10">
        <v>17.0</v>
      </c>
      <c r="I4" s="10">
        <v>2.828</v>
      </c>
      <c r="J4" s="10" t="s">
        <v>296</v>
      </c>
      <c r="K4" s="11" t="str">
        <f t="shared" si="1"/>
        <v>Floor 5|1.1</v>
      </c>
      <c r="M4" s="15" t="s">
        <v>27</v>
      </c>
      <c r="N4" s="15">
        <f>IFERROR(__xludf.DUMMYFUNCTION("MIN(FILTER($I$2:$I109,$K$2:$K109=M4))"),2.828)</f>
        <v>2.828</v>
      </c>
      <c r="O4" s="15">
        <f>IFERROR(__xludf.DUMMYFUNCTION("MAX(FILTER($I$2:$I109,$K$2:$K109=M4))"),2.828)</f>
        <v>2.828</v>
      </c>
      <c r="P4" s="15">
        <f t="shared" si="2"/>
        <v>0</v>
      </c>
      <c r="R4" s="15">
        <f>COUNTIF(P2:P109,"&gt;3")</f>
        <v>7</v>
      </c>
      <c r="S4" s="15">
        <f>COUNTIF(P2:P109,"&gt;3")/COUNTA(M2:M109)</f>
        <v>0.1944444444</v>
      </c>
      <c r="U4" s="16"/>
    </row>
    <row r="5" ht="22.5" customHeight="1">
      <c r="A5" s="7" t="s">
        <v>297</v>
      </c>
      <c r="B5" s="8" t="s">
        <v>19</v>
      </c>
      <c r="C5" s="9">
        <v>1.2</v>
      </c>
      <c r="D5" s="8" t="s">
        <v>20</v>
      </c>
      <c r="E5" s="7">
        <v>39.0</v>
      </c>
      <c r="F5" s="7">
        <v>15.0</v>
      </c>
      <c r="G5" s="7">
        <v>36.0</v>
      </c>
      <c r="H5" s="10">
        <v>22.0</v>
      </c>
      <c r="I5" s="10">
        <v>7.616</v>
      </c>
      <c r="J5" s="10" t="s">
        <v>298</v>
      </c>
      <c r="K5" s="11" t="str">
        <f t="shared" si="1"/>
        <v>Floor 5|1.2</v>
      </c>
      <c r="M5" s="15" t="s">
        <v>30</v>
      </c>
      <c r="N5" s="15">
        <f>IFERROR(__xludf.DUMMYFUNCTION("MIN(FILTER($I$2:$I109,$K$2:$K109=M5))"),1.0)</f>
        <v>1</v>
      </c>
      <c r="O5" s="15">
        <f>IFERROR(__xludf.DUMMYFUNCTION("MAX(FILTER($I$2:$I109,$K$2:$K109=M5))"),4.472)</f>
        <v>4.472</v>
      </c>
      <c r="P5" s="15">
        <f t="shared" si="2"/>
        <v>3.472</v>
      </c>
      <c r="R5" s="15">
        <f>COUNTIF(P2:P109,"&gt;5")</f>
        <v>6</v>
      </c>
      <c r="S5" s="15">
        <f>COUNTIF(P2:P109,"&gt;5")/COUNTA(M2:M109)</f>
        <v>0.1666666667</v>
      </c>
      <c r="U5" s="17"/>
    </row>
    <row r="6" ht="22.5" customHeight="1">
      <c r="A6" s="7" t="s">
        <v>299</v>
      </c>
      <c r="B6" s="8" t="s">
        <v>19</v>
      </c>
      <c r="C6" s="9">
        <v>1.2</v>
      </c>
      <c r="D6" s="8" t="s">
        <v>20</v>
      </c>
      <c r="E6" s="7">
        <v>39.0</v>
      </c>
      <c r="F6" s="7">
        <v>15.0</v>
      </c>
      <c r="G6" s="7">
        <v>34.0</v>
      </c>
      <c r="H6" s="10">
        <v>21.0</v>
      </c>
      <c r="I6" s="10">
        <v>7.81</v>
      </c>
      <c r="J6" s="10" t="s">
        <v>300</v>
      </c>
      <c r="K6" s="11" t="str">
        <f t="shared" si="1"/>
        <v>Floor 5|1.2</v>
      </c>
      <c r="M6" s="15" t="s">
        <v>33</v>
      </c>
      <c r="N6" s="15">
        <f>IFERROR(__xludf.DUMMYFUNCTION("MIN(FILTER($I$2:$I109,$K$2:$K109=M6))"),2.236)</f>
        <v>2.236</v>
      </c>
      <c r="O6" s="15">
        <f>IFERROR(__xludf.DUMMYFUNCTION("MAX(FILTER($I$2:$I109,$K$2:$K109=M6))"),13.153)</f>
        <v>13.153</v>
      </c>
      <c r="P6" s="15">
        <f t="shared" si="2"/>
        <v>10.917</v>
      </c>
      <c r="R6" s="15">
        <f>COUNTIF(P3:P109,"&gt;10")</f>
        <v>3</v>
      </c>
      <c r="S6" s="15">
        <f>COUNTIF(P3:P109,"&gt;10")/COUNTA(M3:M109)</f>
        <v>0.08571428571</v>
      </c>
      <c r="U6" s="16"/>
    </row>
    <row r="7" ht="22.5" customHeight="1">
      <c r="A7" s="7" t="s">
        <v>301</v>
      </c>
      <c r="B7" s="8" t="s">
        <v>19</v>
      </c>
      <c r="C7" s="9">
        <v>1.2</v>
      </c>
      <c r="D7" s="8" t="s">
        <v>20</v>
      </c>
      <c r="E7" s="7">
        <v>39.0</v>
      </c>
      <c r="F7" s="7">
        <v>15.0</v>
      </c>
      <c r="G7" s="7">
        <v>36.0</v>
      </c>
      <c r="H7" s="10">
        <v>20.0</v>
      </c>
      <c r="I7" s="10">
        <v>5.831</v>
      </c>
      <c r="J7" s="10" t="s">
        <v>302</v>
      </c>
      <c r="K7" s="11" t="str">
        <f t="shared" si="1"/>
        <v>Floor 5|1.2</v>
      </c>
      <c r="M7" s="15" t="s">
        <v>36</v>
      </c>
      <c r="N7" s="15">
        <f>IFERROR(__xludf.DUMMYFUNCTION("MIN(FILTER($I$2:$I109,$K$2:$K109=M7))"),1.0)</f>
        <v>1</v>
      </c>
      <c r="O7" s="15">
        <f>IFERROR(__xludf.DUMMYFUNCTION("MAX(FILTER($I$2:$I109,$K$2:$K109=M7))"),3.162)</f>
        <v>3.162</v>
      </c>
      <c r="P7" s="15">
        <f t="shared" si="2"/>
        <v>2.162</v>
      </c>
      <c r="U7" s="17"/>
    </row>
    <row r="8" ht="22.5" customHeight="1">
      <c r="A8" s="7" t="s">
        <v>303</v>
      </c>
      <c r="B8" s="8" t="s">
        <v>19</v>
      </c>
      <c r="C8" s="9" t="s">
        <v>38</v>
      </c>
      <c r="D8" s="8" t="s">
        <v>39</v>
      </c>
      <c r="E8" s="7">
        <v>39.0</v>
      </c>
      <c r="F8" s="7">
        <v>15.0</v>
      </c>
      <c r="G8" s="7">
        <v>37.0</v>
      </c>
      <c r="H8" s="10">
        <v>17.0</v>
      </c>
      <c r="I8" s="10">
        <v>2.828</v>
      </c>
      <c r="J8" s="10" t="s">
        <v>304</v>
      </c>
      <c r="K8" s="11" t="str">
        <f t="shared" si="1"/>
        <v>Floor 5|1_pano</v>
      </c>
      <c r="M8" s="15" t="s">
        <v>41</v>
      </c>
      <c r="N8" s="15">
        <f>IFERROR(__xludf.DUMMYFUNCTION("MIN(FILTER($I$2:$I109,$K$2:$K109=M8))"),4.472)</f>
        <v>4.472</v>
      </c>
      <c r="O8" s="15">
        <f>IFERROR(__xludf.DUMMYFUNCTION("MAX(FILTER($I$2:$I109,$K$2:$K109=M8))"),5.385)</f>
        <v>5.385</v>
      </c>
      <c r="P8" s="15">
        <f t="shared" si="2"/>
        <v>0.913</v>
      </c>
      <c r="U8" s="16"/>
    </row>
    <row r="9" ht="22.5" customHeight="1">
      <c r="A9" s="7" t="s">
        <v>305</v>
      </c>
      <c r="B9" s="8" t="s">
        <v>19</v>
      </c>
      <c r="C9" s="9" t="s">
        <v>38</v>
      </c>
      <c r="D9" s="8" t="s">
        <v>39</v>
      </c>
      <c r="E9" s="7">
        <v>39.0</v>
      </c>
      <c r="F9" s="7">
        <v>15.0</v>
      </c>
      <c r="G9" s="7">
        <v>37.0</v>
      </c>
      <c r="H9" s="10">
        <v>17.0</v>
      </c>
      <c r="I9" s="10">
        <v>2.828</v>
      </c>
      <c r="J9" s="10" t="s">
        <v>306</v>
      </c>
      <c r="K9" s="11" t="str">
        <f t="shared" si="1"/>
        <v>Floor 5|1_pano</v>
      </c>
      <c r="M9" s="15" t="s">
        <v>44</v>
      </c>
      <c r="N9" s="15">
        <f>IFERROR(__xludf.DUMMYFUNCTION("MIN(FILTER($I$2:$I109,$K$2:$K109=M9))"),4.0)</f>
        <v>4</v>
      </c>
      <c r="O9" s="15">
        <f>IFERROR(__xludf.DUMMYFUNCTION("MAX(FILTER($I$2:$I109,$K$2:$K109=M9))"),5.099)</f>
        <v>5.099</v>
      </c>
      <c r="P9" s="15">
        <f t="shared" si="2"/>
        <v>1.099</v>
      </c>
      <c r="U9" s="17"/>
    </row>
    <row r="10" ht="22.5" customHeight="1">
      <c r="A10" s="7" t="s">
        <v>307</v>
      </c>
      <c r="B10" s="8" t="s">
        <v>19</v>
      </c>
      <c r="C10" s="9" t="s">
        <v>38</v>
      </c>
      <c r="D10" s="8" t="s">
        <v>39</v>
      </c>
      <c r="E10" s="7">
        <v>39.0</v>
      </c>
      <c r="F10" s="7">
        <v>15.0</v>
      </c>
      <c r="G10" s="7">
        <v>37.0</v>
      </c>
      <c r="H10" s="10">
        <v>17.0</v>
      </c>
      <c r="I10" s="10">
        <v>2.828</v>
      </c>
      <c r="J10" s="10" t="s">
        <v>308</v>
      </c>
      <c r="K10" s="11" t="str">
        <f t="shared" si="1"/>
        <v>Floor 5|1_pano</v>
      </c>
      <c r="M10" s="15" t="s">
        <v>47</v>
      </c>
      <c r="N10" s="15">
        <f>IFERROR(__xludf.DUMMYFUNCTION("MIN(FILTER($I$2:$I109,$K$2:$K109=M10))"),12.207)</f>
        <v>12.207</v>
      </c>
      <c r="O10" s="15">
        <f>IFERROR(__xludf.DUMMYFUNCTION("MAX(FILTER($I$2:$I109,$K$2:$K109=M10))"),12.806)</f>
        <v>12.806</v>
      </c>
      <c r="P10" s="15">
        <f t="shared" si="2"/>
        <v>0.599</v>
      </c>
      <c r="U10" s="16"/>
    </row>
    <row r="11" ht="22.5" customHeight="1">
      <c r="A11" s="7" t="s">
        <v>309</v>
      </c>
      <c r="B11" s="8" t="s">
        <v>19</v>
      </c>
      <c r="C11" s="9">
        <v>2.1</v>
      </c>
      <c r="D11" s="8" t="s">
        <v>20</v>
      </c>
      <c r="E11" s="7">
        <v>44.0</v>
      </c>
      <c r="F11" s="7">
        <v>16.0</v>
      </c>
      <c r="G11" s="7">
        <v>43.0</v>
      </c>
      <c r="H11" s="10">
        <v>16.0</v>
      </c>
      <c r="I11" s="10">
        <v>1.0</v>
      </c>
      <c r="J11" s="10" t="s">
        <v>310</v>
      </c>
      <c r="K11" s="11" t="str">
        <f t="shared" si="1"/>
        <v>Floor 5|2.1</v>
      </c>
      <c r="M11" s="15" t="s">
        <v>50</v>
      </c>
      <c r="N11" s="15">
        <f>IFERROR(__xludf.DUMMYFUNCTION("MIN(FILTER($I$2:$I109,$K$2:$K109=M11))"),10.63)</f>
        <v>10.63</v>
      </c>
      <c r="O11" s="15">
        <f>IFERROR(__xludf.DUMMYFUNCTION("MAX(FILTER($I$2:$I109,$K$2:$K109=M11))"),11.402)</f>
        <v>11.402</v>
      </c>
      <c r="P11" s="15">
        <f t="shared" si="2"/>
        <v>0.772</v>
      </c>
      <c r="U11" s="18" t="s">
        <v>311</v>
      </c>
    </row>
    <row r="12" ht="22.5" customHeight="1">
      <c r="A12" s="7" t="s">
        <v>312</v>
      </c>
      <c r="B12" s="8" t="s">
        <v>19</v>
      </c>
      <c r="C12" s="9">
        <v>2.1</v>
      </c>
      <c r="D12" s="8" t="s">
        <v>20</v>
      </c>
      <c r="E12" s="7">
        <v>44.0</v>
      </c>
      <c r="F12" s="7">
        <v>16.0</v>
      </c>
      <c r="G12" s="7">
        <v>47.0</v>
      </c>
      <c r="H12" s="10">
        <v>17.0</v>
      </c>
      <c r="I12" s="10">
        <v>3.162</v>
      </c>
      <c r="J12" s="10" t="s">
        <v>313</v>
      </c>
      <c r="K12" s="11" t="str">
        <f t="shared" si="1"/>
        <v>Floor 5|2.1</v>
      </c>
      <c r="M12" s="15" t="s">
        <v>53</v>
      </c>
      <c r="N12" s="15">
        <f>IFERROR(__xludf.DUMMYFUNCTION("MIN(FILTER($I$2:$I109,$K$2:$K109=M12))"),19.723)</f>
        <v>19.723</v>
      </c>
      <c r="O12" s="15">
        <f>IFERROR(__xludf.DUMMYFUNCTION("MAX(FILTER($I$2:$I109,$K$2:$K109=M12))"),20.591)</f>
        <v>20.591</v>
      </c>
      <c r="P12" s="15">
        <f t="shared" si="2"/>
        <v>0.868</v>
      </c>
      <c r="Q12" s="7"/>
      <c r="R12" s="7"/>
      <c r="S12" s="7"/>
      <c r="T12" s="7"/>
      <c r="U12" s="19"/>
      <c r="V12" s="7"/>
    </row>
    <row r="13" ht="22.5" customHeight="1">
      <c r="A13" s="7" t="s">
        <v>314</v>
      </c>
      <c r="B13" s="8" t="s">
        <v>19</v>
      </c>
      <c r="C13" s="9">
        <v>2.1</v>
      </c>
      <c r="D13" s="8" t="s">
        <v>20</v>
      </c>
      <c r="E13" s="7">
        <v>44.0</v>
      </c>
      <c r="F13" s="7">
        <v>16.0</v>
      </c>
      <c r="G13" s="7">
        <v>42.0</v>
      </c>
      <c r="H13" s="10">
        <v>20.0</v>
      </c>
      <c r="I13" s="10">
        <v>4.472</v>
      </c>
      <c r="J13" s="10" t="s">
        <v>315</v>
      </c>
      <c r="K13" s="11" t="str">
        <f t="shared" si="1"/>
        <v>Floor 5|2.1</v>
      </c>
      <c r="M13" s="15" t="s">
        <v>56</v>
      </c>
      <c r="N13" s="15">
        <f>IFERROR(__xludf.DUMMYFUNCTION("MIN(FILTER($I$2:$I109,$K$2:$K109=M13))"),19.235)</f>
        <v>19.235</v>
      </c>
      <c r="O13" s="15">
        <f>IFERROR(__xludf.DUMMYFUNCTION("MAX(FILTER($I$2:$I109,$K$2:$K109=M13))"),19.723)</f>
        <v>19.723</v>
      </c>
      <c r="P13" s="15">
        <f t="shared" si="2"/>
        <v>0.488</v>
      </c>
      <c r="U13" s="17"/>
    </row>
    <row r="14" ht="22.5" customHeight="1">
      <c r="A14" s="7" t="s">
        <v>316</v>
      </c>
      <c r="B14" s="8" t="s">
        <v>19</v>
      </c>
      <c r="C14" s="9">
        <v>2.2</v>
      </c>
      <c r="D14" s="8" t="s">
        <v>20</v>
      </c>
      <c r="E14" s="7">
        <v>44.0</v>
      </c>
      <c r="F14" s="7">
        <v>16.0</v>
      </c>
      <c r="G14" s="7">
        <v>42.0</v>
      </c>
      <c r="H14" s="10">
        <v>28.0</v>
      </c>
      <c r="I14" s="10">
        <v>12.166</v>
      </c>
      <c r="J14" s="10" t="s">
        <v>317</v>
      </c>
      <c r="K14" s="11" t="str">
        <f t="shared" si="1"/>
        <v>Floor 5|2.2</v>
      </c>
      <c r="M14" s="15" t="s">
        <v>59</v>
      </c>
      <c r="N14" s="15">
        <f>IFERROR(__xludf.DUMMYFUNCTION("MIN(FILTER($I$2:$I109,$K$2:$K109=M14))"),19.416)</f>
        <v>19.416</v>
      </c>
      <c r="O14" s="15">
        <f>IFERROR(__xludf.DUMMYFUNCTION("MAX(FILTER($I$2:$I109,$K$2:$K109=M14))"),21.401)</f>
        <v>21.401</v>
      </c>
      <c r="P14" s="15">
        <f t="shared" si="2"/>
        <v>1.985</v>
      </c>
      <c r="U14" s="16"/>
    </row>
    <row r="15" ht="22.5" customHeight="1">
      <c r="A15" s="7" t="s">
        <v>318</v>
      </c>
      <c r="B15" s="8" t="s">
        <v>19</v>
      </c>
      <c r="C15" s="9">
        <v>2.2</v>
      </c>
      <c r="D15" s="8" t="s">
        <v>20</v>
      </c>
      <c r="E15" s="7">
        <v>44.0</v>
      </c>
      <c r="F15" s="7">
        <v>16.0</v>
      </c>
      <c r="G15" s="7">
        <v>42.0</v>
      </c>
      <c r="H15" s="10">
        <v>29.0</v>
      </c>
      <c r="I15" s="10">
        <v>13.153</v>
      </c>
      <c r="J15" s="10" t="s">
        <v>319</v>
      </c>
      <c r="K15" s="11" t="str">
        <f t="shared" si="1"/>
        <v>Floor 5|2.2</v>
      </c>
      <c r="M15" s="15" t="s">
        <v>62</v>
      </c>
      <c r="N15" s="15">
        <f>IFERROR(__xludf.DUMMYFUNCTION("MIN(FILTER($I$2:$I109,$K$2:$K109=M15))"),1.0)</f>
        <v>1</v>
      </c>
      <c r="O15" s="15">
        <f>IFERROR(__xludf.DUMMYFUNCTION("MAX(FILTER($I$2:$I109,$K$2:$K109=M15))"),1.0)</f>
        <v>1</v>
      </c>
      <c r="P15" s="15">
        <f t="shared" si="2"/>
        <v>0</v>
      </c>
      <c r="U15" s="18" t="s">
        <v>320</v>
      </c>
    </row>
    <row r="16" ht="22.5" customHeight="1">
      <c r="A16" s="7" t="s">
        <v>321</v>
      </c>
      <c r="B16" s="8" t="s">
        <v>19</v>
      </c>
      <c r="C16" s="9">
        <v>2.2</v>
      </c>
      <c r="D16" s="8" t="s">
        <v>20</v>
      </c>
      <c r="E16" s="7">
        <v>44.0</v>
      </c>
      <c r="F16" s="7">
        <v>16.0</v>
      </c>
      <c r="G16" s="7">
        <v>42.0</v>
      </c>
      <c r="H16" s="10">
        <v>17.0</v>
      </c>
      <c r="I16" s="10">
        <v>2.236</v>
      </c>
      <c r="J16" s="10" t="s">
        <v>322</v>
      </c>
      <c r="K16" s="11" t="str">
        <f t="shared" si="1"/>
        <v>Floor 5|2.2</v>
      </c>
      <c r="M16" s="15" t="s">
        <v>65</v>
      </c>
      <c r="N16" s="15">
        <f>IFERROR(__xludf.DUMMYFUNCTION("MIN(FILTER($I$2:$I109,$K$2:$K109=M16))"),2.0)</f>
        <v>2</v>
      </c>
      <c r="O16" s="15">
        <f>IFERROR(__xludf.DUMMYFUNCTION("MAX(FILTER($I$2:$I109,$K$2:$K109=M16))"),3.606)</f>
        <v>3.606</v>
      </c>
      <c r="P16" s="15">
        <f t="shared" si="2"/>
        <v>1.606</v>
      </c>
      <c r="Q16" s="7"/>
      <c r="R16" s="7"/>
      <c r="S16" s="7"/>
      <c r="T16" s="7"/>
      <c r="U16" s="19"/>
      <c r="V16" s="7"/>
    </row>
    <row r="17" ht="22.5" customHeight="1">
      <c r="A17" s="7" t="s">
        <v>323</v>
      </c>
      <c r="B17" s="8" t="s">
        <v>19</v>
      </c>
      <c r="C17" s="9" t="s">
        <v>67</v>
      </c>
      <c r="D17" s="8" t="s">
        <v>39</v>
      </c>
      <c r="E17" s="7">
        <v>44.0</v>
      </c>
      <c r="F17" s="7">
        <v>16.0</v>
      </c>
      <c r="G17" s="7">
        <v>43.0</v>
      </c>
      <c r="H17" s="10">
        <v>19.0</v>
      </c>
      <c r="I17" s="10">
        <v>3.162</v>
      </c>
      <c r="J17" s="10" t="s">
        <v>324</v>
      </c>
      <c r="K17" s="11" t="str">
        <f t="shared" si="1"/>
        <v>Floor 5|2.pano</v>
      </c>
      <c r="M17" s="15" t="s">
        <v>69</v>
      </c>
      <c r="N17" s="15">
        <f>IFERROR(__xludf.DUMMYFUNCTION("MIN(FILTER($I$2:$I109,$K$2:$K109=M17))"),5.831)</f>
        <v>5.831</v>
      </c>
      <c r="O17" s="15">
        <f>IFERROR(__xludf.DUMMYFUNCTION("MAX(FILTER($I$2:$I109,$K$2:$K109=M17))"),6.403)</f>
        <v>6.403</v>
      </c>
      <c r="P17" s="15">
        <f t="shared" si="2"/>
        <v>0.572</v>
      </c>
      <c r="U17" s="17"/>
    </row>
    <row r="18" ht="22.5" customHeight="1">
      <c r="A18" s="7" t="s">
        <v>325</v>
      </c>
      <c r="B18" s="8" t="s">
        <v>19</v>
      </c>
      <c r="C18" s="9" t="s">
        <v>67</v>
      </c>
      <c r="D18" s="8" t="s">
        <v>39</v>
      </c>
      <c r="E18" s="7">
        <v>44.0</v>
      </c>
      <c r="F18" s="7">
        <v>16.0</v>
      </c>
      <c r="G18" s="7">
        <v>45.0</v>
      </c>
      <c r="H18" s="10">
        <v>16.0</v>
      </c>
      <c r="I18" s="10">
        <v>1.0</v>
      </c>
      <c r="J18" s="10" t="s">
        <v>326</v>
      </c>
      <c r="K18" s="11" t="str">
        <f t="shared" si="1"/>
        <v>Floor 5|2.pano</v>
      </c>
      <c r="M18" s="15" t="s">
        <v>72</v>
      </c>
      <c r="N18" s="15">
        <f>IFERROR(__xludf.DUMMYFUNCTION("MIN(FILTER($I$2:$I109,$K$2:$K109=M18))"),3.606)</f>
        <v>3.606</v>
      </c>
      <c r="O18" s="15">
        <f>IFERROR(__xludf.DUMMYFUNCTION("MAX(FILTER($I$2:$I109,$K$2:$K109=M18))"),5.657)</f>
        <v>5.657</v>
      </c>
      <c r="P18" s="15">
        <f t="shared" si="2"/>
        <v>2.051</v>
      </c>
      <c r="U18" s="16"/>
    </row>
    <row r="19" ht="22.5" customHeight="1">
      <c r="A19" s="7" t="s">
        <v>327</v>
      </c>
      <c r="B19" s="8" t="s">
        <v>19</v>
      </c>
      <c r="C19" s="9" t="s">
        <v>67</v>
      </c>
      <c r="D19" s="8" t="s">
        <v>39</v>
      </c>
      <c r="E19" s="7">
        <v>44.0</v>
      </c>
      <c r="F19" s="7">
        <v>16.0</v>
      </c>
      <c r="G19" s="7">
        <v>43.0</v>
      </c>
      <c r="H19" s="10">
        <v>19.0</v>
      </c>
      <c r="I19" s="10">
        <v>3.162</v>
      </c>
      <c r="J19" s="10" t="s">
        <v>328</v>
      </c>
      <c r="K19" s="11" t="str">
        <f t="shared" si="1"/>
        <v>Floor 5|2.pano</v>
      </c>
      <c r="M19" s="15" t="s">
        <v>75</v>
      </c>
      <c r="N19" s="15">
        <f>IFERROR(__xludf.DUMMYFUNCTION("MIN(FILTER($I$2:$I109,$K$2:$K109=M19))"),5.0)</f>
        <v>5</v>
      </c>
      <c r="O19" s="15">
        <f>IFERROR(__xludf.DUMMYFUNCTION("MAX(FILTER($I$2:$I109,$K$2:$K109=M19))"),7.211)</f>
        <v>7.211</v>
      </c>
      <c r="P19" s="15">
        <f t="shared" si="2"/>
        <v>2.211</v>
      </c>
      <c r="U19" s="17"/>
    </row>
    <row r="20" ht="22.5" customHeight="1">
      <c r="A20" s="7" t="s">
        <v>329</v>
      </c>
      <c r="B20" s="8" t="s">
        <v>19</v>
      </c>
      <c r="C20" s="9">
        <v>3.1</v>
      </c>
      <c r="D20" s="8" t="s">
        <v>20</v>
      </c>
      <c r="E20" s="7">
        <v>39.0</v>
      </c>
      <c r="F20" s="7">
        <v>22.0</v>
      </c>
      <c r="G20" s="7">
        <v>43.0</v>
      </c>
      <c r="H20" s="10">
        <v>20.0</v>
      </c>
      <c r="I20" s="10">
        <v>4.472</v>
      </c>
      <c r="J20" s="10" t="s">
        <v>330</v>
      </c>
      <c r="K20" s="11" t="str">
        <f t="shared" si="1"/>
        <v>Floor 5|3.1</v>
      </c>
      <c r="M20" s="15" t="s">
        <v>78</v>
      </c>
      <c r="N20" s="15">
        <f>IFERROR(__xludf.DUMMYFUNCTION("MIN(FILTER($I$2:$I109,$K$2:$K109=M20))"),30.414)</f>
        <v>30.414</v>
      </c>
      <c r="O20" s="15">
        <f>IFERROR(__xludf.DUMMYFUNCTION("MAX(FILTER($I$2:$I109,$K$2:$K109=M20))"),31.145)</f>
        <v>31.145</v>
      </c>
      <c r="P20" s="15">
        <f t="shared" si="2"/>
        <v>0.731</v>
      </c>
      <c r="U20" s="16"/>
    </row>
    <row r="21" ht="22.5" customHeight="1">
      <c r="A21" s="7" t="s">
        <v>331</v>
      </c>
      <c r="B21" s="8" t="s">
        <v>19</v>
      </c>
      <c r="C21" s="9">
        <v>3.1</v>
      </c>
      <c r="D21" s="8" t="s">
        <v>20</v>
      </c>
      <c r="E21" s="7">
        <v>39.0</v>
      </c>
      <c r="F21" s="7">
        <v>22.0</v>
      </c>
      <c r="G21" s="7">
        <v>44.0</v>
      </c>
      <c r="H21" s="10">
        <v>20.0</v>
      </c>
      <c r="I21" s="10">
        <v>5.385</v>
      </c>
      <c r="J21" s="10" t="s">
        <v>332</v>
      </c>
      <c r="K21" s="11" t="str">
        <f t="shared" si="1"/>
        <v>Floor 5|3.1</v>
      </c>
      <c r="M21" s="15" t="s">
        <v>81</v>
      </c>
      <c r="N21" s="15">
        <f>IFERROR(__xludf.DUMMYFUNCTION("MIN(FILTER($I$2:$I109,$K$2:$K109=M21))"),12.53)</f>
        <v>12.53</v>
      </c>
      <c r="O21" s="15">
        <f>IFERROR(__xludf.DUMMYFUNCTION("MAX(FILTER($I$2:$I109,$K$2:$K109=M21))"),28.16)</f>
        <v>28.16</v>
      </c>
      <c r="P21" s="15">
        <f t="shared" si="2"/>
        <v>15.63</v>
      </c>
      <c r="U21" s="17"/>
    </row>
    <row r="22" ht="22.5" customHeight="1">
      <c r="A22" s="7" t="s">
        <v>333</v>
      </c>
      <c r="B22" s="8" t="s">
        <v>19</v>
      </c>
      <c r="C22" s="9">
        <v>3.1</v>
      </c>
      <c r="D22" s="8" t="s">
        <v>20</v>
      </c>
      <c r="E22" s="7">
        <v>39.0</v>
      </c>
      <c r="F22" s="7">
        <v>22.0</v>
      </c>
      <c r="G22" s="7">
        <v>43.0</v>
      </c>
      <c r="H22" s="10">
        <v>20.0</v>
      </c>
      <c r="I22" s="10">
        <v>4.472</v>
      </c>
      <c r="J22" s="10" t="s">
        <v>334</v>
      </c>
      <c r="K22" s="11" t="str">
        <f t="shared" si="1"/>
        <v>Floor 5|3.1</v>
      </c>
      <c r="M22" s="15" t="s">
        <v>84</v>
      </c>
      <c r="N22" s="15">
        <f>IFERROR(__xludf.DUMMYFUNCTION("MIN(FILTER($I$2:$I109,$K$2:$K109=M22))"),25.71)</f>
        <v>25.71</v>
      </c>
      <c r="O22" s="15">
        <f>IFERROR(__xludf.DUMMYFUNCTION("MAX(FILTER($I$2:$I109,$K$2:$K109=M22))"),31.575)</f>
        <v>31.575</v>
      </c>
      <c r="P22" s="15">
        <f t="shared" si="2"/>
        <v>5.865</v>
      </c>
      <c r="U22" s="16"/>
    </row>
    <row r="23" ht="22.5" customHeight="1">
      <c r="A23" s="7" t="s">
        <v>335</v>
      </c>
      <c r="B23" s="8" t="s">
        <v>19</v>
      </c>
      <c r="C23" s="9">
        <v>3.2</v>
      </c>
      <c r="D23" s="8" t="s">
        <v>20</v>
      </c>
      <c r="E23" s="7">
        <v>39.0</v>
      </c>
      <c r="F23" s="7">
        <v>22.0</v>
      </c>
      <c r="G23" s="7">
        <v>34.0</v>
      </c>
      <c r="H23" s="10">
        <v>23.0</v>
      </c>
      <c r="I23" s="10">
        <v>5.099</v>
      </c>
      <c r="J23" s="10" t="s">
        <v>336</v>
      </c>
      <c r="K23" s="11" t="str">
        <f t="shared" si="1"/>
        <v>Floor 5|3.2</v>
      </c>
      <c r="M23" s="15" t="s">
        <v>87</v>
      </c>
      <c r="N23" s="15">
        <f>IFERROR(__xludf.DUMMYFUNCTION("MIN(FILTER($I$2:$I109,$K$2:$K109=M23))"),3.0)</f>
        <v>3</v>
      </c>
      <c r="O23" s="15">
        <f>IFERROR(__xludf.DUMMYFUNCTION("MAX(FILTER($I$2:$I109,$K$2:$K109=M23))"),3.606)</f>
        <v>3.606</v>
      </c>
      <c r="P23" s="15">
        <f t="shared" si="2"/>
        <v>0.606</v>
      </c>
      <c r="U23" s="17"/>
    </row>
    <row r="24" ht="22.5" customHeight="1">
      <c r="A24" s="7" t="s">
        <v>337</v>
      </c>
      <c r="B24" s="8" t="s">
        <v>19</v>
      </c>
      <c r="C24" s="9">
        <v>3.2</v>
      </c>
      <c r="D24" s="8" t="s">
        <v>20</v>
      </c>
      <c r="E24" s="7">
        <v>39.0</v>
      </c>
      <c r="F24" s="7">
        <v>22.0</v>
      </c>
      <c r="G24" s="7">
        <v>35.0</v>
      </c>
      <c r="H24" s="10">
        <v>23.0</v>
      </c>
      <c r="I24" s="10">
        <v>4.123</v>
      </c>
      <c r="J24" s="10" t="s">
        <v>338</v>
      </c>
      <c r="K24" s="11" t="str">
        <f t="shared" si="1"/>
        <v>Floor 5|3.2</v>
      </c>
      <c r="M24" s="15" t="s">
        <v>90</v>
      </c>
      <c r="N24" s="15">
        <f>IFERROR(__xludf.DUMMYFUNCTION("MIN(FILTER($I$2:$I109,$K$2:$K109=M24))"),4.123)</f>
        <v>4.123</v>
      </c>
      <c r="O24" s="15">
        <f>IFERROR(__xludf.DUMMYFUNCTION("MAX(FILTER($I$2:$I109,$K$2:$K109=M24))"),5.099)</f>
        <v>5.099</v>
      </c>
      <c r="P24" s="15">
        <f t="shared" si="2"/>
        <v>0.976</v>
      </c>
      <c r="U24" s="16"/>
    </row>
    <row r="25" ht="22.5" customHeight="1">
      <c r="A25" s="7" t="s">
        <v>339</v>
      </c>
      <c r="B25" s="8" t="s">
        <v>19</v>
      </c>
      <c r="C25" s="9">
        <v>3.2</v>
      </c>
      <c r="D25" s="8" t="s">
        <v>20</v>
      </c>
      <c r="E25" s="7">
        <v>39.0</v>
      </c>
      <c r="F25" s="7">
        <v>22.0</v>
      </c>
      <c r="G25" s="7">
        <v>35.0</v>
      </c>
      <c r="H25" s="10">
        <v>22.0</v>
      </c>
      <c r="I25" s="10">
        <v>4.0</v>
      </c>
      <c r="J25" s="10" t="s">
        <v>340</v>
      </c>
      <c r="K25" s="11" t="str">
        <f t="shared" si="1"/>
        <v>Floor 5|3.2</v>
      </c>
      <c r="M25" s="15" t="s">
        <v>93</v>
      </c>
      <c r="N25" s="15">
        <f>IFERROR(__xludf.DUMMYFUNCTION("MIN(FILTER($I$2:$I109,$K$2:$K109=M25))"),4.123)</f>
        <v>4.123</v>
      </c>
      <c r="O25" s="15">
        <f>IFERROR(__xludf.DUMMYFUNCTION("MAX(FILTER($I$2:$I109,$K$2:$K109=M25))"),6.403)</f>
        <v>6.403</v>
      </c>
      <c r="P25" s="15">
        <f t="shared" si="2"/>
        <v>2.28</v>
      </c>
      <c r="U25" s="17"/>
    </row>
    <row r="26" ht="22.5" customHeight="1">
      <c r="A26" s="7" t="s">
        <v>341</v>
      </c>
      <c r="B26" s="8" t="s">
        <v>19</v>
      </c>
      <c r="C26" s="9" t="s">
        <v>95</v>
      </c>
      <c r="D26" s="8" t="s">
        <v>39</v>
      </c>
      <c r="E26" s="7">
        <v>39.0</v>
      </c>
      <c r="F26" s="7">
        <v>22.0</v>
      </c>
      <c r="G26" s="7">
        <v>32.0</v>
      </c>
      <c r="H26" s="10">
        <v>12.0</v>
      </c>
      <c r="I26" s="10">
        <v>12.207</v>
      </c>
      <c r="J26" s="10" t="s">
        <v>342</v>
      </c>
      <c r="K26" s="11" t="str">
        <f t="shared" si="1"/>
        <v>Floor 5|3_pano</v>
      </c>
      <c r="M26" s="15" t="s">
        <v>97</v>
      </c>
      <c r="N26" s="15">
        <f>IFERROR(__xludf.DUMMYFUNCTION("MIN(FILTER($I$2:$I109,$K$2:$K109=M26))"),2.828)</f>
        <v>2.828</v>
      </c>
      <c r="O26" s="15">
        <f>IFERROR(__xludf.DUMMYFUNCTION("MAX(FILTER($I$2:$I109,$K$2:$K109=M26))"),5.385)</f>
        <v>5.385</v>
      </c>
      <c r="P26" s="15">
        <f t="shared" si="2"/>
        <v>2.557</v>
      </c>
      <c r="U26" s="16"/>
    </row>
    <row r="27" ht="22.5" customHeight="1">
      <c r="A27" s="7" t="s">
        <v>343</v>
      </c>
      <c r="B27" s="8" t="s">
        <v>19</v>
      </c>
      <c r="C27" s="9" t="s">
        <v>95</v>
      </c>
      <c r="D27" s="8" t="s">
        <v>39</v>
      </c>
      <c r="E27" s="7">
        <v>39.0</v>
      </c>
      <c r="F27" s="7">
        <v>22.0</v>
      </c>
      <c r="G27" s="7">
        <v>32.0</v>
      </c>
      <c r="H27" s="10">
        <v>12.0</v>
      </c>
      <c r="I27" s="10">
        <v>12.207</v>
      </c>
      <c r="J27" s="10" t="s">
        <v>344</v>
      </c>
      <c r="K27" s="11" t="str">
        <f t="shared" si="1"/>
        <v>Floor 5|3_pano</v>
      </c>
      <c r="M27" s="15" t="s">
        <v>100</v>
      </c>
      <c r="N27" s="15">
        <f>IFERROR(__xludf.DUMMYFUNCTION("MIN(FILTER($I$2:$I109,$K$2:$K109=M27))"),5.385)</f>
        <v>5.385</v>
      </c>
      <c r="O27" s="15">
        <f>IFERROR(__xludf.DUMMYFUNCTION("MAX(FILTER($I$2:$I109,$K$2:$K109=M27))"),6.083)</f>
        <v>6.083</v>
      </c>
      <c r="P27" s="15">
        <f t="shared" si="2"/>
        <v>0.698</v>
      </c>
      <c r="U27" s="17"/>
    </row>
    <row r="28" ht="22.5" customHeight="1">
      <c r="A28" s="7" t="s">
        <v>345</v>
      </c>
      <c r="B28" s="8" t="s">
        <v>19</v>
      </c>
      <c r="C28" s="9" t="s">
        <v>95</v>
      </c>
      <c r="D28" s="8" t="s">
        <v>39</v>
      </c>
      <c r="E28" s="7">
        <v>39.0</v>
      </c>
      <c r="F28" s="7">
        <v>22.0</v>
      </c>
      <c r="G28" s="7">
        <v>31.0</v>
      </c>
      <c r="H28" s="10">
        <v>12.0</v>
      </c>
      <c r="I28" s="10">
        <v>12.806</v>
      </c>
      <c r="J28" s="10" t="s">
        <v>346</v>
      </c>
      <c r="K28" s="11" t="str">
        <f t="shared" si="1"/>
        <v>Floor 5|3_pano</v>
      </c>
      <c r="M28" s="15" t="s">
        <v>103</v>
      </c>
      <c r="N28" s="15">
        <f>IFERROR(__xludf.DUMMYFUNCTION("MIN(FILTER($I$2:$I109,$K$2:$K109=M28))"),6.708)</f>
        <v>6.708</v>
      </c>
      <c r="O28" s="15">
        <f>IFERROR(__xludf.DUMMYFUNCTION("MAX(FILTER($I$2:$I109,$K$2:$K109=M28))"),8.544)</f>
        <v>8.544</v>
      </c>
      <c r="P28" s="15">
        <f t="shared" si="2"/>
        <v>1.836</v>
      </c>
      <c r="U28" s="16"/>
    </row>
    <row r="29" ht="22.5" customHeight="1">
      <c r="A29" s="7" t="s">
        <v>347</v>
      </c>
      <c r="B29" s="8" t="s">
        <v>19</v>
      </c>
      <c r="C29" s="9">
        <v>4.1</v>
      </c>
      <c r="D29" s="8" t="s">
        <v>20</v>
      </c>
      <c r="E29" s="7">
        <v>42.0</v>
      </c>
      <c r="F29" s="7">
        <v>29.0</v>
      </c>
      <c r="G29" s="7">
        <v>33.0</v>
      </c>
      <c r="H29" s="10">
        <v>22.0</v>
      </c>
      <c r="I29" s="10">
        <v>11.402</v>
      </c>
      <c r="J29" s="10" t="s">
        <v>348</v>
      </c>
      <c r="K29" s="11" t="str">
        <f t="shared" si="1"/>
        <v>Floor 5|4.1</v>
      </c>
      <c r="M29" s="15" t="s">
        <v>106</v>
      </c>
      <c r="N29" s="15">
        <f>IFERROR(__xludf.DUMMYFUNCTION("MIN(FILTER($I$2:$I109,$K$2:$K109=M29))"),17.692)</f>
        <v>17.692</v>
      </c>
      <c r="O29" s="15">
        <f>IFERROR(__xludf.DUMMYFUNCTION("MAX(FILTER($I$2:$I109,$K$2:$K109=M29))"),18.385)</f>
        <v>18.385</v>
      </c>
      <c r="P29" s="15">
        <f t="shared" si="2"/>
        <v>0.693</v>
      </c>
      <c r="U29" s="17"/>
    </row>
    <row r="30" ht="22.5" customHeight="1">
      <c r="A30" s="7" t="s">
        <v>349</v>
      </c>
      <c r="B30" s="8" t="s">
        <v>19</v>
      </c>
      <c r="C30" s="9">
        <v>4.1</v>
      </c>
      <c r="D30" s="8" t="s">
        <v>20</v>
      </c>
      <c r="E30" s="7">
        <v>42.0</v>
      </c>
      <c r="F30" s="7">
        <v>29.0</v>
      </c>
      <c r="G30" s="7">
        <v>35.0</v>
      </c>
      <c r="H30" s="10">
        <v>21.0</v>
      </c>
      <c r="I30" s="10">
        <v>10.63</v>
      </c>
      <c r="J30" s="10" t="s">
        <v>350</v>
      </c>
      <c r="K30" s="11" t="str">
        <f t="shared" si="1"/>
        <v>Floor 5|4.1</v>
      </c>
      <c r="M30" s="15" t="s">
        <v>109</v>
      </c>
      <c r="N30" s="15">
        <f>IFERROR(__xludf.DUMMYFUNCTION("MIN(FILTER($I$2:$I109,$K$2:$K109=M30))"),3.162)</f>
        <v>3.162</v>
      </c>
      <c r="O30" s="15">
        <f>IFERROR(__xludf.DUMMYFUNCTION("MAX(FILTER($I$2:$I109,$K$2:$K109=M30))"),3.606)</f>
        <v>3.606</v>
      </c>
      <c r="P30" s="15">
        <f t="shared" si="2"/>
        <v>0.444</v>
      </c>
      <c r="U30" s="20" t="s">
        <v>351</v>
      </c>
    </row>
    <row r="31" ht="22.5" customHeight="1">
      <c r="A31" s="7" t="s">
        <v>352</v>
      </c>
      <c r="B31" s="8" t="s">
        <v>19</v>
      </c>
      <c r="C31" s="9">
        <v>4.1</v>
      </c>
      <c r="D31" s="8" t="s">
        <v>20</v>
      </c>
      <c r="E31" s="7">
        <v>42.0</v>
      </c>
      <c r="F31" s="7">
        <v>29.0</v>
      </c>
      <c r="G31" s="7">
        <v>35.0</v>
      </c>
      <c r="H31" s="10">
        <v>20.0</v>
      </c>
      <c r="I31" s="10">
        <v>11.402</v>
      </c>
      <c r="J31" s="10" t="s">
        <v>353</v>
      </c>
      <c r="K31" s="11" t="str">
        <f t="shared" si="1"/>
        <v>Floor 5|4.1</v>
      </c>
      <c r="M31" s="15" t="s">
        <v>112</v>
      </c>
      <c r="N31" s="15">
        <f>IFERROR(__xludf.DUMMYFUNCTION("MIN(FILTER($I$2:$I109,$K$2:$K109=M31))"),16.279)</f>
        <v>16.279</v>
      </c>
      <c r="O31" s="15">
        <f>IFERROR(__xludf.DUMMYFUNCTION("MAX(FILTER($I$2:$I109,$K$2:$K109=M31))"),18.385)</f>
        <v>18.385</v>
      </c>
      <c r="P31" s="15">
        <f t="shared" si="2"/>
        <v>2.106</v>
      </c>
      <c r="Q31" s="7"/>
      <c r="R31" s="7"/>
      <c r="S31" s="7"/>
      <c r="T31" s="7"/>
      <c r="U31" s="21"/>
      <c r="V31" s="7"/>
    </row>
    <row r="32" ht="22.5" customHeight="1">
      <c r="A32" s="7" t="s">
        <v>354</v>
      </c>
      <c r="B32" s="8" t="s">
        <v>19</v>
      </c>
      <c r="C32" s="9">
        <v>4.2</v>
      </c>
      <c r="D32" s="8" t="s">
        <v>20</v>
      </c>
      <c r="E32" s="7">
        <v>42.0</v>
      </c>
      <c r="F32" s="7">
        <v>29.0</v>
      </c>
      <c r="G32" s="7">
        <v>32.0</v>
      </c>
      <c r="H32" s="10">
        <v>11.0</v>
      </c>
      <c r="I32" s="10">
        <v>20.591</v>
      </c>
      <c r="J32" s="10" t="s">
        <v>355</v>
      </c>
      <c r="K32" s="11" t="str">
        <f t="shared" si="1"/>
        <v>Floor 5|4.2</v>
      </c>
      <c r="M32" s="15" t="s">
        <v>115</v>
      </c>
      <c r="N32" s="15">
        <f>IFERROR(__xludf.DUMMYFUNCTION("MIN(FILTER($I$2:$I109,$K$2:$K109=M32))"),11.314)</f>
        <v>11.314</v>
      </c>
      <c r="O32" s="15">
        <f>IFERROR(__xludf.DUMMYFUNCTION("MAX(FILTER($I$2:$I109,$K$2:$K109=M32))"),18.385)</f>
        <v>18.385</v>
      </c>
      <c r="P32" s="15">
        <f t="shared" si="2"/>
        <v>7.071</v>
      </c>
      <c r="U32" s="16"/>
    </row>
    <row r="33" ht="22.5" customHeight="1">
      <c r="A33" s="7" t="s">
        <v>356</v>
      </c>
      <c r="B33" s="8" t="s">
        <v>19</v>
      </c>
      <c r="C33" s="9">
        <v>4.2</v>
      </c>
      <c r="D33" s="8" t="s">
        <v>20</v>
      </c>
      <c r="E33" s="7">
        <v>42.0</v>
      </c>
      <c r="F33" s="7">
        <v>29.0</v>
      </c>
      <c r="G33" s="7">
        <v>32.0</v>
      </c>
      <c r="H33" s="10">
        <v>12.0</v>
      </c>
      <c r="I33" s="10">
        <v>19.723</v>
      </c>
      <c r="J33" s="10" t="s">
        <v>357</v>
      </c>
      <c r="K33" s="11" t="str">
        <f t="shared" si="1"/>
        <v>Floor 5|4.2</v>
      </c>
      <c r="M33" s="15" t="s">
        <v>118</v>
      </c>
      <c r="N33" s="15">
        <f>IFERROR(__xludf.DUMMYFUNCTION("MIN(FILTER($I$2:$I109,$K$2:$K109=M33))"),2.0)</f>
        <v>2</v>
      </c>
      <c r="O33" s="15">
        <f>IFERROR(__xludf.DUMMYFUNCTION("MAX(FILTER($I$2:$I109,$K$2:$K109=M33))"),8.062)</f>
        <v>8.062</v>
      </c>
      <c r="P33" s="15">
        <f t="shared" si="2"/>
        <v>6.062</v>
      </c>
      <c r="U33" s="17"/>
    </row>
    <row r="34" ht="22.5" customHeight="1">
      <c r="A34" s="7" t="s">
        <v>358</v>
      </c>
      <c r="B34" s="8" t="s">
        <v>19</v>
      </c>
      <c r="C34" s="9">
        <v>4.2</v>
      </c>
      <c r="D34" s="8" t="s">
        <v>20</v>
      </c>
      <c r="E34" s="7">
        <v>42.0</v>
      </c>
      <c r="F34" s="7">
        <v>29.0</v>
      </c>
      <c r="G34" s="7">
        <v>32.0</v>
      </c>
      <c r="H34" s="10">
        <v>12.0</v>
      </c>
      <c r="I34" s="10">
        <v>19.723</v>
      </c>
      <c r="J34" s="10" t="s">
        <v>359</v>
      </c>
      <c r="K34" s="11" t="str">
        <f t="shared" si="1"/>
        <v>Floor 5|4.2</v>
      </c>
      <c r="M34" s="15" t="s">
        <v>121</v>
      </c>
      <c r="N34" s="15">
        <f>IFERROR(__xludf.DUMMYFUNCTION("MIN(FILTER($I$2:$I109,$K$2:$K109=M34))"),2.236)</f>
        <v>2.236</v>
      </c>
      <c r="O34" s="15">
        <f>IFERROR(__xludf.DUMMYFUNCTION("MAX(FILTER($I$2:$I109,$K$2:$K109=M34))"),16.031)</f>
        <v>16.031</v>
      </c>
      <c r="P34" s="15">
        <f t="shared" si="2"/>
        <v>13.795</v>
      </c>
      <c r="U34" s="16"/>
    </row>
    <row r="35" ht="22.5" customHeight="1">
      <c r="A35" s="7" t="s">
        <v>360</v>
      </c>
      <c r="B35" s="8" t="s">
        <v>19</v>
      </c>
      <c r="C35" s="9" t="s">
        <v>123</v>
      </c>
      <c r="D35" s="8" t="s">
        <v>39</v>
      </c>
      <c r="E35" s="7">
        <v>42.0</v>
      </c>
      <c r="F35" s="7">
        <v>29.0</v>
      </c>
      <c r="G35" s="7">
        <v>33.0</v>
      </c>
      <c r="H35" s="10">
        <v>12.0</v>
      </c>
      <c r="I35" s="10">
        <v>19.235</v>
      </c>
      <c r="J35" s="10" t="s">
        <v>361</v>
      </c>
      <c r="K35" s="11" t="str">
        <f t="shared" si="1"/>
        <v>Floor 5|4.pano</v>
      </c>
      <c r="M35" s="15" t="s">
        <v>125</v>
      </c>
      <c r="N35" s="15">
        <f>IFERROR(__xludf.DUMMYFUNCTION("MIN(FILTER($I$2:$I109,$K$2:$K109=M35))"),9.22)</f>
        <v>9.22</v>
      </c>
      <c r="O35" s="15">
        <f>IFERROR(__xludf.DUMMYFUNCTION("MAX(FILTER($I$2:$I109,$K$2:$K109=M35))"),9.849)</f>
        <v>9.849</v>
      </c>
      <c r="P35" s="15">
        <f t="shared" si="2"/>
        <v>0.629</v>
      </c>
      <c r="U35" s="17"/>
    </row>
    <row r="36" ht="22.5" customHeight="1">
      <c r="A36" s="7" t="s">
        <v>362</v>
      </c>
      <c r="B36" s="8" t="s">
        <v>19</v>
      </c>
      <c r="C36" s="9" t="s">
        <v>123</v>
      </c>
      <c r="D36" s="8" t="s">
        <v>39</v>
      </c>
      <c r="E36" s="7">
        <v>42.0</v>
      </c>
      <c r="F36" s="7">
        <v>29.0</v>
      </c>
      <c r="G36" s="7">
        <v>32.0</v>
      </c>
      <c r="H36" s="10">
        <v>12.0</v>
      </c>
      <c r="I36" s="10">
        <v>19.723</v>
      </c>
      <c r="J36" s="10" t="s">
        <v>363</v>
      </c>
      <c r="K36" s="11" t="str">
        <f t="shared" si="1"/>
        <v>Floor 5|4.pano</v>
      </c>
      <c r="M36" s="15" t="s">
        <v>128</v>
      </c>
      <c r="N36" s="15">
        <f>IFERROR(__xludf.DUMMYFUNCTION("MIN(FILTER($I$2:$I109,$K$2:$K109=M36))"),10.296)</f>
        <v>10.296</v>
      </c>
      <c r="O36" s="15">
        <f>IFERROR(__xludf.DUMMYFUNCTION("MAX(FILTER($I$2:$I109,$K$2:$K109=M36))"),10.296)</f>
        <v>10.296</v>
      </c>
      <c r="P36" s="15">
        <f t="shared" si="2"/>
        <v>0</v>
      </c>
      <c r="U36" s="16"/>
    </row>
    <row r="37" ht="22.5" customHeight="1">
      <c r="A37" s="7" t="s">
        <v>364</v>
      </c>
      <c r="B37" s="8" t="s">
        <v>19</v>
      </c>
      <c r="C37" s="9" t="s">
        <v>123</v>
      </c>
      <c r="D37" s="8" t="s">
        <v>39</v>
      </c>
      <c r="E37" s="7">
        <v>42.0</v>
      </c>
      <c r="F37" s="7">
        <v>29.0</v>
      </c>
      <c r="G37" s="7">
        <v>32.0</v>
      </c>
      <c r="H37" s="10">
        <v>12.0</v>
      </c>
      <c r="I37" s="10">
        <v>19.723</v>
      </c>
      <c r="J37" s="10" t="s">
        <v>365</v>
      </c>
      <c r="K37" s="11" t="str">
        <f t="shared" si="1"/>
        <v>Floor 5|4.pano</v>
      </c>
      <c r="M37" s="15" t="s">
        <v>131</v>
      </c>
      <c r="N37" s="15">
        <f>IFERROR(__xludf.DUMMYFUNCTION("MIN(FILTER($I$2:$I109,$K$2:$K109=M37))"),9.487)</f>
        <v>9.487</v>
      </c>
      <c r="O37" s="15">
        <f>IFERROR(__xludf.DUMMYFUNCTION("MAX(FILTER($I$2:$I109,$K$2:$K109=M37))"),10.296)</f>
        <v>10.296</v>
      </c>
      <c r="P37" s="15">
        <f t="shared" si="2"/>
        <v>0.809</v>
      </c>
      <c r="U37" s="17"/>
    </row>
    <row r="38" ht="22.5" customHeight="1">
      <c r="A38" s="7" t="s">
        <v>366</v>
      </c>
      <c r="B38" s="8" t="s">
        <v>19</v>
      </c>
      <c r="C38" s="9">
        <v>5.1</v>
      </c>
      <c r="D38" s="8" t="s">
        <v>20</v>
      </c>
      <c r="E38" s="7">
        <v>46.0</v>
      </c>
      <c r="F38" s="7">
        <v>30.0</v>
      </c>
      <c r="G38" s="7">
        <v>30.0</v>
      </c>
      <c r="H38" s="10">
        <v>17.0</v>
      </c>
      <c r="I38" s="10">
        <v>20.616</v>
      </c>
      <c r="J38" s="10" t="s">
        <v>367</v>
      </c>
      <c r="K38" s="11" t="str">
        <f t="shared" si="1"/>
        <v>Floor 5|5.1</v>
      </c>
      <c r="U38" s="20" t="s">
        <v>368</v>
      </c>
    </row>
    <row r="39" ht="22.5" customHeight="1">
      <c r="A39" s="7" t="s">
        <v>369</v>
      </c>
      <c r="B39" s="8" t="s">
        <v>19</v>
      </c>
      <c r="C39" s="9">
        <v>5.1</v>
      </c>
      <c r="D39" s="8" t="s">
        <v>20</v>
      </c>
      <c r="E39" s="7">
        <v>46.0</v>
      </c>
      <c r="F39" s="7">
        <v>30.0</v>
      </c>
      <c r="G39" s="7">
        <v>30.0</v>
      </c>
      <c r="H39" s="10">
        <v>19.0</v>
      </c>
      <c r="I39" s="10">
        <v>19.416</v>
      </c>
      <c r="J39" s="10" t="s">
        <v>370</v>
      </c>
      <c r="K39" s="11" t="str">
        <f t="shared" si="1"/>
        <v>Floor 5|5.1</v>
      </c>
      <c r="Q39" s="7"/>
      <c r="R39" s="7"/>
      <c r="S39" s="7"/>
      <c r="T39" s="7"/>
      <c r="U39" s="22" t="s">
        <v>368</v>
      </c>
      <c r="V39" s="7"/>
    </row>
    <row r="40" ht="22.5" customHeight="1">
      <c r="A40" s="7" t="s">
        <v>371</v>
      </c>
      <c r="B40" s="8" t="s">
        <v>19</v>
      </c>
      <c r="C40" s="9">
        <v>5.1</v>
      </c>
      <c r="D40" s="8" t="s">
        <v>20</v>
      </c>
      <c r="E40" s="7">
        <v>46.0</v>
      </c>
      <c r="F40" s="7">
        <v>30.0</v>
      </c>
      <c r="G40" s="7">
        <v>29.0</v>
      </c>
      <c r="H40" s="10">
        <v>17.0</v>
      </c>
      <c r="I40" s="10">
        <v>21.401</v>
      </c>
      <c r="J40" s="10" t="s">
        <v>372</v>
      </c>
      <c r="K40" s="11" t="str">
        <f t="shared" si="1"/>
        <v>Floor 5|5.1</v>
      </c>
      <c r="Q40" s="7"/>
      <c r="R40" s="7"/>
      <c r="S40" s="7"/>
      <c r="T40" s="7"/>
      <c r="U40" s="19"/>
      <c r="V40" s="7"/>
    </row>
    <row r="41" ht="22.5" customHeight="1">
      <c r="A41" s="7" t="s">
        <v>373</v>
      </c>
      <c r="B41" s="8" t="s">
        <v>19</v>
      </c>
      <c r="C41" s="9">
        <v>5.2</v>
      </c>
      <c r="D41" s="8" t="s">
        <v>20</v>
      </c>
      <c r="E41" s="7">
        <v>46.0</v>
      </c>
      <c r="F41" s="7">
        <v>30.0</v>
      </c>
      <c r="G41" s="7">
        <v>47.0</v>
      </c>
      <c r="H41" s="10">
        <v>30.0</v>
      </c>
      <c r="I41" s="10">
        <v>1.0</v>
      </c>
      <c r="J41" s="10" t="s">
        <v>374</v>
      </c>
      <c r="K41" s="11" t="str">
        <f t="shared" si="1"/>
        <v>Floor 5|5.2</v>
      </c>
      <c r="U41" s="17"/>
    </row>
    <row r="42" ht="22.5" customHeight="1">
      <c r="A42" s="7" t="s">
        <v>375</v>
      </c>
      <c r="B42" s="8" t="s">
        <v>19</v>
      </c>
      <c r="C42" s="9">
        <v>5.2</v>
      </c>
      <c r="D42" s="8" t="s">
        <v>20</v>
      </c>
      <c r="E42" s="7">
        <v>46.0</v>
      </c>
      <c r="F42" s="7">
        <v>30.0</v>
      </c>
      <c r="G42" s="7">
        <v>47.0</v>
      </c>
      <c r="H42" s="10">
        <v>30.0</v>
      </c>
      <c r="I42" s="10">
        <v>1.0</v>
      </c>
      <c r="J42" s="10" t="s">
        <v>376</v>
      </c>
      <c r="K42" s="11" t="str">
        <f t="shared" si="1"/>
        <v>Floor 5|5.2</v>
      </c>
      <c r="U42" s="16"/>
    </row>
    <row r="43" ht="22.5" customHeight="1">
      <c r="A43" s="7" t="s">
        <v>377</v>
      </c>
      <c r="B43" s="8" t="s">
        <v>19</v>
      </c>
      <c r="C43" s="9">
        <v>5.2</v>
      </c>
      <c r="D43" s="8" t="s">
        <v>20</v>
      </c>
      <c r="E43" s="7">
        <v>46.0</v>
      </c>
      <c r="F43" s="7">
        <v>30.0</v>
      </c>
      <c r="G43" s="7">
        <v>47.0</v>
      </c>
      <c r="H43" s="10">
        <v>30.0</v>
      </c>
      <c r="I43" s="10">
        <v>1.0</v>
      </c>
      <c r="J43" s="10" t="s">
        <v>376</v>
      </c>
      <c r="K43" s="11" t="str">
        <f t="shared" si="1"/>
        <v>Floor 5|5.2</v>
      </c>
      <c r="U43" s="17"/>
    </row>
    <row r="44" ht="22.5" customHeight="1">
      <c r="A44" s="7" t="s">
        <v>378</v>
      </c>
      <c r="B44" s="8" t="s">
        <v>19</v>
      </c>
      <c r="C44" s="9" t="s">
        <v>145</v>
      </c>
      <c r="D44" s="8" t="s">
        <v>39</v>
      </c>
      <c r="E44" s="7">
        <v>46.0</v>
      </c>
      <c r="F44" s="7">
        <v>30.0</v>
      </c>
      <c r="G44" s="7">
        <v>44.0</v>
      </c>
      <c r="H44" s="10">
        <v>29.0</v>
      </c>
      <c r="I44" s="10">
        <v>2.236</v>
      </c>
      <c r="J44" s="10" t="s">
        <v>379</v>
      </c>
      <c r="K44" s="11" t="str">
        <f t="shared" si="1"/>
        <v>Floor 5|5.pano</v>
      </c>
      <c r="U44" s="16"/>
    </row>
    <row r="45" ht="22.5" customHeight="1">
      <c r="A45" s="7" t="s">
        <v>380</v>
      </c>
      <c r="B45" s="8" t="s">
        <v>19</v>
      </c>
      <c r="C45" s="9" t="s">
        <v>145</v>
      </c>
      <c r="D45" s="8" t="s">
        <v>39</v>
      </c>
      <c r="E45" s="7">
        <v>46.0</v>
      </c>
      <c r="F45" s="7">
        <v>30.0</v>
      </c>
      <c r="G45" s="7">
        <v>44.0</v>
      </c>
      <c r="H45" s="10">
        <v>30.0</v>
      </c>
      <c r="I45" s="10">
        <v>2.0</v>
      </c>
      <c r="J45" s="10" t="s">
        <v>381</v>
      </c>
      <c r="K45" s="11" t="str">
        <f t="shared" si="1"/>
        <v>Floor 5|5.pano</v>
      </c>
      <c r="U45" s="17"/>
    </row>
    <row r="46" ht="22.5" customHeight="1">
      <c r="A46" s="7" t="s">
        <v>382</v>
      </c>
      <c r="B46" s="8" t="s">
        <v>19</v>
      </c>
      <c r="C46" s="9" t="s">
        <v>145</v>
      </c>
      <c r="D46" s="8" t="s">
        <v>39</v>
      </c>
      <c r="E46" s="7">
        <v>46.0</v>
      </c>
      <c r="F46" s="7">
        <v>30.0</v>
      </c>
      <c r="G46" s="7">
        <v>43.0</v>
      </c>
      <c r="H46" s="10">
        <v>28.0</v>
      </c>
      <c r="I46" s="10">
        <v>3.606</v>
      </c>
      <c r="J46" s="10" t="s">
        <v>383</v>
      </c>
      <c r="K46" s="11" t="str">
        <f t="shared" si="1"/>
        <v>Floor 5|5.pano</v>
      </c>
      <c r="U46" s="16"/>
    </row>
    <row r="47" ht="22.5" customHeight="1">
      <c r="A47" s="7" t="s">
        <v>384</v>
      </c>
      <c r="B47" s="8" t="s">
        <v>19</v>
      </c>
      <c r="C47" s="9">
        <v>6.1</v>
      </c>
      <c r="D47" s="8" t="s">
        <v>20</v>
      </c>
      <c r="E47" s="7">
        <v>48.0</v>
      </c>
      <c r="F47" s="7">
        <v>27.0</v>
      </c>
      <c r="G47" s="7">
        <v>43.0</v>
      </c>
      <c r="H47" s="10">
        <v>30.0</v>
      </c>
      <c r="I47" s="10">
        <v>5.831</v>
      </c>
      <c r="J47" s="10" t="s">
        <v>385</v>
      </c>
      <c r="K47" s="11" t="str">
        <f t="shared" si="1"/>
        <v>Floor 5|6.1</v>
      </c>
      <c r="U47" s="17"/>
    </row>
    <row r="48" ht="22.5" customHeight="1">
      <c r="A48" s="7" t="s">
        <v>386</v>
      </c>
      <c r="B48" s="8" t="s">
        <v>19</v>
      </c>
      <c r="C48" s="9">
        <v>6.1</v>
      </c>
      <c r="D48" s="8" t="s">
        <v>20</v>
      </c>
      <c r="E48" s="7">
        <v>48.0</v>
      </c>
      <c r="F48" s="7">
        <v>27.0</v>
      </c>
      <c r="G48" s="7">
        <v>43.0</v>
      </c>
      <c r="H48" s="10">
        <v>31.0</v>
      </c>
      <c r="I48" s="10">
        <v>6.403</v>
      </c>
      <c r="J48" s="10" t="s">
        <v>387</v>
      </c>
      <c r="K48" s="11" t="str">
        <f t="shared" si="1"/>
        <v>Floor 5|6.1</v>
      </c>
      <c r="U48" s="16"/>
    </row>
    <row r="49" ht="22.5" customHeight="1">
      <c r="A49" s="7" t="s">
        <v>388</v>
      </c>
      <c r="B49" s="8" t="s">
        <v>19</v>
      </c>
      <c r="C49" s="9">
        <v>6.1</v>
      </c>
      <c r="D49" s="8" t="s">
        <v>20</v>
      </c>
      <c r="E49" s="7">
        <v>48.0</v>
      </c>
      <c r="F49" s="7">
        <v>27.0</v>
      </c>
      <c r="G49" s="7">
        <v>43.0</v>
      </c>
      <c r="H49" s="10">
        <v>30.0</v>
      </c>
      <c r="I49" s="10">
        <v>5.831</v>
      </c>
      <c r="J49" s="10" t="s">
        <v>389</v>
      </c>
      <c r="K49" s="11" t="str">
        <f t="shared" si="1"/>
        <v>Floor 5|6.1</v>
      </c>
      <c r="U49" s="17"/>
    </row>
    <row r="50" ht="22.5" customHeight="1">
      <c r="A50" s="7" t="s">
        <v>390</v>
      </c>
      <c r="B50" s="8" t="s">
        <v>19</v>
      </c>
      <c r="C50" s="9">
        <v>6.2</v>
      </c>
      <c r="D50" s="8" t="s">
        <v>20</v>
      </c>
      <c r="E50" s="7">
        <v>48.0</v>
      </c>
      <c r="F50" s="7">
        <v>27.0</v>
      </c>
      <c r="G50" s="7">
        <v>44.0</v>
      </c>
      <c r="H50" s="10">
        <v>31.0</v>
      </c>
      <c r="I50" s="10">
        <v>5.657</v>
      </c>
      <c r="J50" s="10" t="s">
        <v>391</v>
      </c>
      <c r="K50" s="11" t="str">
        <f t="shared" si="1"/>
        <v>Floor 5|6.2</v>
      </c>
      <c r="U50" s="16"/>
    </row>
    <row r="51" ht="22.5" customHeight="1">
      <c r="A51" s="7" t="s">
        <v>392</v>
      </c>
      <c r="B51" s="8" t="s">
        <v>19</v>
      </c>
      <c r="C51" s="9">
        <v>6.2</v>
      </c>
      <c r="D51" s="8" t="s">
        <v>20</v>
      </c>
      <c r="E51" s="7">
        <v>48.0</v>
      </c>
      <c r="F51" s="7">
        <v>27.0</v>
      </c>
      <c r="G51" s="7">
        <v>45.0</v>
      </c>
      <c r="H51" s="10">
        <v>30.0</v>
      </c>
      <c r="I51" s="10">
        <v>4.243</v>
      </c>
      <c r="J51" s="10" t="s">
        <v>393</v>
      </c>
      <c r="K51" s="11" t="str">
        <f t="shared" si="1"/>
        <v>Floor 5|6.2</v>
      </c>
      <c r="U51" s="17"/>
    </row>
    <row r="52" ht="22.5" customHeight="1">
      <c r="A52" s="7" t="s">
        <v>394</v>
      </c>
      <c r="B52" s="8" t="s">
        <v>19</v>
      </c>
      <c r="C52" s="9">
        <v>6.2</v>
      </c>
      <c r="D52" s="8" t="s">
        <v>20</v>
      </c>
      <c r="E52" s="7">
        <v>48.0</v>
      </c>
      <c r="F52" s="7">
        <v>27.0</v>
      </c>
      <c r="G52" s="7">
        <v>46.0</v>
      </c>
      <c r="H52" s="10">
        <v>30.0</v>
      </c>
      <c r="I52" s="10">
        <v>3.606</v>
      </c>
      <c r="J52" s="10" t="s">
        <v>395</v>
      </c>
      <c r="K52" s="11" t="str">
        <f t="shared" si="1"/>
        <v>Floor 5|6.2</v>
      </c>
      <c r="U52" s="16"/>
    </row>
    <row r="53" ht="22.5" customHeight="1">
      <c r="A53" s="7" t="s">
        <v>396</v>
      </c>
      <c r="B53" s="8" t="s">
        <v>19</v>
      </c>
      <c r="C53" s="9" t="s">
        <v>164</v>
      </c>
      <c r="D53" s="8" t="s">
        <v>39</v>
      </c>
      <c r="E53" s="7">
        <v>48.0</v>
      </c>
      <c r="F53" s="7">
        <v>27.0</v>
      </c>
      <c r="G53" s="7">
        <v>42.0</v>
      </c>
      <c r="H53" s="10">
        <v>30.0</v>
      </c>
      <c r="I53" s="10">
        <v>6.708</v>
      </c>
      <c r="J53" s="10" t="s">
        <v>397</v>
      </c>
      <c r="K53" s="11" t="str">
        <f t="shared" si="1"/>
        <v>Floor 5|6_pano</v>
      </c>
      <c r="U53" s="17"/>
    </row>
    <row r="54" ht="22.5" customHeight="1">
      <c r="A54" s="7" t="s">
        <v>398</v>
      </c>
      <c r="B54" s="8" t="s">
        <v>19</v>
      </c>
      <c r="C54" s="9" t="s">
        <v>164</v>
      </c>
      <c r="D54" s="8" t="s">
        <v>39</v>
      </c>
      <c r="E54" s="7">
        <v>48.0</v>
      </c>
      <c r="F54" s="7">
        <v>27.0</v>
      </c>
      <c r="G54" s="7">
        <v>44.0</v>
      </c>
      <c r="H54" s="10">
        <v>30.0</v>
      </c>
      <c r="I54" s="10">
        <v>5.0</v>
      </c>
      <c r="J54" s="10" t="s">
        <v>399</v>
      </c>
      <c r="K54" s="11" t="str">
        <f t="shared" si="1"/>
        <v>Floor 5|6_pano</v>
      </c>
      <c r="U54" s="16"/>
    </row>
    <row r="55" ht="22.5" customHeight="1">
      <c r="A55" s="7" t="s">
        <v>400</v>
      </c>
      <c r="B55" s="8" t="s">
        <v>19</v>
      </c>
      <c r="C55" s="9" t="s">
        <v>164</v>
      </c>
      <c r="D55" s="8" t="s">
        <v>39</v>
      </c>
      <c r="E55" s="7">
        <v>48.0</v>
      </c>
      <c r="F55" s="7">
        <v>27.0</v>
      </c>
      <c r="G55" s="7">
        <v>42.0</v>
      </c>
      <c r="H55" s="10">
        <v>31.0</v>
      </c>
      <c r="I55" s="10">
        <v>7.211</v>
      </c>
      <c r="J55" s="10" t="s">
        <v>401</v>
      </c>
      <c r="K55" s="11" t="str">
        <f t="shared" si="1"/>
        <v>Floor 5|6_pano</v>
      </c>
      <c r="U55" s="17"/>
    </row>
    <row r="56" ht="22.5" customHeight="1">
      <c r="A56" s="7" t="s">
        <v>402</v>
      </c>
      <c r="B56" s="8" t="s">
        <v>171</v>
      </c>
      <c r="C56" s="9">
        <v>1.1</v>
      </c>
      <c r="D56" s="8" t="s">
        <v>20</v>
      </c>
      <c r="E56" s="7">
        <v>30.0</v>
      </c>
      <c r="F56" s="7">
        <v>10.0</v>
      </c>
      <c r="G56" s="7">
        <v>33.0</v>
      </c>
      <c r="H56" s="10">
        <v>41.0</v>
      </c>
      <c r="I56" s="10">
        <v>31.145</v>
      </c>
      <c r="J56" s="10" t="s">
        <v>403</v>
      </c>
      <c r="K56" s="11" t="str">
        <f t="shared" si="1"/>
        <v>Floor 3|1.1</v>
      </c>
      <c r="U56" s="16"/>
    </row>
    <row r="57" ht="22.5" customHeight="1">
      <c r="A57" s="7" t="s">
        <v>404</v>
      </c>
      <c r="B57" s="8" t="s">
        <v>171</v>
      </c>
      <c r="C57" s="9">
        <v>1.1</v>
      </c>
      <c r="D57" s="8" t="s">
        <v>20</v>
      </c>
      <c r="E57" s="7">
        <v>30.0</v>
      </c>
      <c r="F57" s="7">
        <v>10.0</v>
      </c>
      <c r="G57" s="7">
        <v>24.0</v>
      </c>
      <c r="H57" s="10">
        <v>40.0</v>
      </c>
      <c r="I57" s="10">
        <v>30.594</v>
      </c>
      <c r="J57" s="10" t="s">
        <v>405</v>
      </c>
      <c r="K57" s="11" t="str">
        <f t="shared" si="1"/>
        <v>Floor 3|1.1</v>
      </c>
      <c r="U57" s="17"/>
    </row>
    <row r="58" ht="22.5" customHeight="1">
      <c r="A58" s="7" t="s">
        <v>406</v>
      </c>
      <c r="B58" s="8" t="s">
        <v>171</v>
      </c>
      <c r="C58" s="9">
        <v>1.1</v>
      </c>
      <c r="D58" s="8" t="s">
        <v>20</v>
      </c>
      <c r="E58" s="7">
        <v>30.0</v>
      </c>
      <c r="F58" s="7">
        <v>10.0</v>
      </c>
      <c r="G58" s="7">
        <v>25.0</v>
      </c>
      <c r="H58" s="10">
        <v>40.0</v>
      </c>
      <c r="I58" s="10">
        <v>30.414</v>
      </c>
      <c r="J58" s="10" t="s">
        <v>407</v>
      </c>
      <c r="K58" s="11" t="str">
        <f t="shared" si="1"/>
        <v>Floor 3|1.1</v>
      </c>
      <c r="U58" s="16"/>
    </row>
    <row r="59" ht="22.5" customHeight="1">
      <c r="A59" s="7" t="s">
        <v>408</v>
      </c>
      <c r="B59" s="8" t="s">
        <v>171</v>
      </c>
      <c r="C59" s="9">
        <v>1.2</v>
      </c>
      <c r="D59" s="8" t="s">
        <v>20</v>
      </c>
      <c r="E59" s="7">
        <v>30.0</v>
      </c>
      <c r="F59" s="7">
        <v>10.0</v>
      </c>
      <c r="G59" s="7">
        <v>22.0</v>
      </c>
      <c r="H59" s="10">
        <v>37.0</v>
      </c>
      <c r="I59" s="10">
        <v>28.16</v>
      </c>
      <c r="J59" s="10" t="s">
        <v>409</v>
      </c>
      <c r="K59" s="11" t="str">
        <f t="shared" si="1"/>
        <v>Floor 3|1.2</v>
      </c>
      <c r="U59" s="17"/>
    </row>
    <row r="60" ht="22.5" customHeight="1">
      <c r="A60" s="7" t="s">
        <v>410</v>
      </c>
      <c r="B60" s="8" t="s">
        <v>171</v>
      </c>
      <c r="C60" s="9">
        <v>1.2</v>
      </c>
      <c r="D60" s="8" t="s">
        <v>20</v>
      </c>
      <c r="E60" s="7">
        <v>30.0</v>
      </c>
      <c r="F60" s="7">
        <v>10.0</v>
      </c>
      <c r="G60" s="7">
        <v>36.0</v>
      </c>
      <c r="H60" s="10">
        <v>21.0</v>
      </c>
      <c r="I60" s="10">
        <v>12.53</v>
      </c>
      <c r="J60" s="10" t="s">
        <v>411</v>
      </c>
      <c r="K60" s="11" t="str">
        <f t="shared" si="1"/>
        <v>Floor 3|1.2</v>
      </c>
      <c r="U60" s="16"/>
    </row>
    <row r="61" ht="22.5" customHeight="1">
      <c r="A61" s="7" t="s">
        <v>412</v>
      </c>
      <c r="B61" s="8" t="s">
        <v>171</v>
      </c>
      <c r="C61" s="9">
        <v>1.2</v>
      </c>
      <c r="D61" s="8" t="s">
        <v>20</v>
      </c>
      <c r="E61" s="7">
        <v>30.0</v>
      </c>
      <c r="F61" s="7">
        <v>10.0</v>
      </c>
      <c r="G61" s="7">
        <v>40.0</v>
      </c>
      <c r="H61" s="10">
        <v>21.0</v>
      </c>
      <c r="I61" s="10">
        <v>14.866</v>
      </c>
      <c r="J61" s="10" t="s">
        <v>413</v>
      </c>
      <c r="K61" s="11" t="str">
        <f t="shared" si="1"/>
        <v>Floor 3|1.2</v>
      </c>
      <c r="U61" s="17"/>
    </row>
    <row r="62" ht="22.5" customHeight="1">
      <c r="A62" s="7" t="s">
        <v>414</v>
      </c>
      <c r="B62" s="8" t="s">
        <v>171</v>
      </c>
      <c r="C62" s="9" t="s">
        <v>184</v>
      </c>
      <c r="D62" s="8" t="s">
        <v>39</v>
      </c>
      <c r="E62" s="7">
        <v>30.0</v>
      </c>
      <c r="F62" s="7">
        <v>10.0</v>
      </c>
      <c r="G62" s="7">
        <v>24.0</v>
      </c>
      <c r="H62" s="10">
        <v>41.0</v>
      </c>
      <c r="I62" s="10">
        <v>31.575</v>
      </c>
      <c r="J62" s="10" t="s">
        <v>415</v>
      </c>
      <c r="K62" s="11" t="str">
        <f t="shared" si="1"/>
        <v>Floor 3|1.pano</v>
      </c>
      <c r="U62" s="16"/>
    </row>
    <row r="63" ht="22.5" customHeight="1">
      <c r="A63" s="7" t="s">
        <v>416</v>
      </c>
      <c r="B63" s="8" t="s">
        <v>171</v>
      </c>
      <c r="C63" s="9" t="s">
        <v>184</v>
      </c>
      <c r="D63" s="8" t="s">
        <v>39</v>
      </c>
      <c r="E63" s="7">
        <v>30.0</v>
      </c>
      <c r="F63" s="7">
        <v>10.0</v>
      </c>
      <c r="G63" s="7">
        <v>33.0</v>
      </c>
      <c r="H63" s="10">
        <v>39.0</v>
      </c>
      <c r="I63" s="10">
        <v>29.155</v>
      </c>
      <c r="J63" s="10" t="s">
        <v>417</v>
      </c>
      <c r="K63" s="11" t="str">
        <f t="shared" si="1"/>
        <v>Floor 3|1.pano</v>
      </c>
      <c r="U63" s="17"/>
    </row>
    <row r="64" ht="22.5" customHeight="1">
      <c r="A64" s="7" t="s">
        <v>418</v>
      </c>
      <c r="B64" s="8" t="s">
        <v>171</v>
      </c>
      <c r="C64" s="9" t="s">
        <v>184</v>
      </c>
      <c r="D64" s="8" t="s">
        <v>39</v>
      </c>
      <c r="E64" s="7">
        <v>30.0</v>
      </c>
      <c r="F64" s="7">
        <v>10.0</v>
      </c>
      <c r="G64" s="7">
        <v>24.0</v>
      </c>
      <c r="H64" s="10">
        <v>35.0</v>
      </c>
      <c r="I64" s="10">
        <v>25.71</v>
      </c>
      <c r="J64" s="10" t="s">
        <v>419</v>
      </c>
      <c r="K64" s="11" t="str">
        <f t="shared" si="1"/>
        <v>Floor 3|1.pano</v>
      </c>
      <c r="U64" s="16"/>
    </row>
    <row r="65" ht="22.5" customHeight="1">
      <c r="A65" s="7" t="s">
        <v>420</v>
      </c>
      <c r="B65" s="8" t="s">
        <v>171</v>
      </c>
      <c r="C65" s="9">
        <v>2.1</v>
      </c>
      <c r="D65" s="8" t="s">
        <v>20</v>
      </c>
      <c r="E65" s="7">
        <v>40.0</v>
      </c>
      <c r="F65" s="7">
        <v>18.0</v>
      </c>
      <c r="G65" s="7">
        <v>40.0</v>
      </c>
      <c r="H65" s="10">
        <v>21.0</v>
      </c>
      <c r="I65" s="10">
        <v>3.0</v>
      </c>
      <c r="J65" s="10" t="s">
        <v>421</v>
      </c>
      <c r="K65" s="11" t="str">
        <f t="shared" si="1"/>
        <v>Floor 3|2.1</v>
      </c>
      <c r="U65" s="17"/>
    </row>
    <row r="66" ht="22.5" customHeight="1">
      <c r="A66" s="7" t="s">
        <v>422</v>
      </c>
      <c r="B66" s="8" t="s">
        <v>171</v>
      </c>
      <c r="C66" s="9">
        <v>2.1</v>
      </c>
      <c r="D66" s="8" t="s">
        <v>20</v>
      </c>
      <c r="E66" s="7">
        <v>40.0</v>
      </c>
      <c r="F66" s="7">
        <v>18.0</v>
      </c>
      <c r="G66" s="7">
        <v>38.0</v>
      </c>
      <c r="H66" s="10">
        <v>21.0</v>
      </c>
      <c r="I66" s="10">
        <v>3.606</v>
      </c>
      <c r="J66" s="10" t="s">
        <v>423</v>
      </c>
      <c r="K66" s="11" t="str">
        <f t="shared" si="1"/>
        <v>Floor 3|2.1</v>
      </c>
      <c r="U66" s="16"/>
    </row>
    <row r="67" ht="22.5" customHeight="1">
      <c r="A67" s="7" t="s">
        <v>424</v>
      </c>
      <c r="B67" s="8" t="s">
        <v>171</v>
      </c>
      <c r="C67" s="9">
        <v>2.1</v>
      </c>
      <c r="D67" s="8" t="s">
        <v>20</v>
      </c>
      <c r="E67" s="7">
        <v>40.0</v>
      </c>
      <c r="F67" s="7">
        <v>18.0</v>
      </c>
      <c r="G67" s="7">
        <v>38.0</v>
      </c>
      <c r="H67" s="10">
        <v>21.0</v>
      </c>
      <c r="I67" s="10">
        <v>3.162</v>
      </c>
      <c r="J67" s="10" t="s">
        <v>425</v>
      </c>
      <c r="K67" s="11" t="str">
        <f t="shared" si="1"/>
        <v>Floor 3|2.1</v>
      </c>
      <c r="U67" s="17"/>
    </row>
    <row r="68" ht="22.5" customHeight="1">
      <c r="A68" s="7" t="s">
        <v>426</v>
      </c>
      <c r="B68" s="8" t="s">
        <v>171</v>
      </c>
      <c r="C68" s="9">
        <v>2.2</v>
      </c>
      <c r="D68" s="8" t="s">
        <v>20</v>
      </c>
      <c r="E68" s="7">
        <v>40.0</v>
      </c>
      <c r="F68" s="7">
        <v>18.0</v>
      </c>
      <c r="G68" s="7">
        <v>39.0</v>
      </c>
      <c r="H68" s="10">
        <v>23.0</v>
      </c>
      <c r="I68" s="10">
        <v>5.099</v>
      </c>
      <c r="J68" s="10" t="s">
        <v>427</v>
      </c>
      <c r="K68" s="11" t="str">
        <f t="shared" si="1"/>
        <v>Floor 3|2.2</v>
      </c>
      <c r="U68" s="16"/>
    </row>
    <row r="69" ht="22.5" customHeight="1">
      <c r="A69" s="7" t="s">
        <v>428</v>
      </c>
      <c r="B69" s="8" t="s">
        <v>171</v>
      </c>
      <c r="C69" s="9">
        <v>2.2</v>
      </c>
      <c r="D69" s="8" t="s">
        <v>20</v>
      </c>
      <c r="E69" s="7">
        <v>40.0</v>
      </c>
      <c r="F69" s="7">
        <v>18.0</v>
      </c>
      <c r="G69" s="7">
        <v>39.0</v>
      </c>
      <c r="H69" s="10">
        <v>22.0</v>
      </c>
      <c r="I69" s="10">
        <v>4.123</v>
      </c>
      <c r="J69" s="10" t="s">
        <v>429</v>
      </c>
      <c r="K69" s="11" t="str">
        <f t="shared" si="1"/>
        <v>Floor 3|2.2</v>
      </c>
      <c r="U69" s="17"/>
    </row>
    <row r="70" ht="22.5" customHeight="1">
      <c r="A70" s="7" t="s">
        <v>430</v>
      </c>
      <c r="B70" s="8" t="s">
        <v>171</v>
      </c>
      <c r="C70" s="9">
        <v>2.2</v>
      </c>
      <c r="D70" s="8" t="s">
        <v>20</v>
      </c>
      <c r="E70" s="7">
        <v>40.0</v>
      </c>
      <c r="F70" s="7">
        <v>18.0</v>
      </c>
      <c r="G70" s="7">
        <v>39.0</v>
      </c>
      <c r="H70" s="10">
        <v>22.0</v>
      </c>
      <c r="I70" s="10">
        <v>4.123</v>
      </c>
      <c r="J70" s="10" t="s">
        <v>431</v>
      </c>
      <c r="K70" s="11" t="str">
        <f t="shared" si="1"/>
        <v>Floor 3|2.2</v>
      </c>
      <c r="U70" s="16"/>
    </row>
    <row r="71" ht="22.5" customHeight="1">
      <c r="A71" s="7" t="s">
        <v>432</v>
      </c>
      <c r="B71" s="8" t="s">
        <v>171</v>
      </c>
      <c r="C71" s="9" t="s">
        <v>203</v>
      </c>
      <c r="D71" s="8" t="s">
        <v>39</v>
      </c>
      <c r="E71" s="7">
        <v>40.0</v>
      </c>
      <c r="F71" s="7">
        <v>18.0</v>
      </c>
      <c r="G71" s="7">
        <v>36.0</v>
      </c>
      <c r="H71" s="10">
        <v>23.0</v>
      </c>
      <c r="I71" s="10">
        <v>6.403</v>
      </c>
      <c r="J71" s="10" t="s">
        <v>433</v>
      </c>
      <c r="K71" s="11" t="str">
        <f t="shared" si="1"/>
        <v>Floor 3|2_pano</v>
      </c>
      <c r="U71" s="17"/>
    </row>
    <row r="72" ht="22.5" customHeight="1">
      <c r="A72" s="7" t="s">
        <v>434</v>
      </c>
      <c r="B72" s="8" t="s">
        <v>171</v>
      </c>
      <c r="C72" s="9" t="s">
        <v>203</v>
      </c>
      <c r="D72" s="8" t="s">
        <v>39</v>
      </c>
      <c r="E72" s="7">
        <v>40.0</v>
      </c>
      <c r="F72" s="7">
        <v>18.0</v>
      </c>
      <c r="G72" s="7">
        <v>39.0</v>
      </c>
      <c r="H72" s="10">
        <v>22.0</v>
      </c>
      <c r="I72" s="10">
        <v>4.123</v>
      </c>
      <c r="J72" s="10" t="s">
        <v>435</v>
      </c>
      <c r="K72" s="11" t="str">
        <f t="shared" si="1"/>
        <v>Floor 3|2_pano</v>
      </c>
      <c r="U72" s="16"/>
    </row>
    <row r="73" ht="22.5" customHeight="1">
      <c r="A73" s="7" t="s">
        <v>436</v>
      </c>
      <c r="B73" s="8" t="s">
        <v>171</v>
      </c>
      <c r="C73" s="9" t="s">
        <v>203</v>
      </c>
      <c r="D73" s="8" t="s">
        <v>39</v>
      </c>
      <c r="E73" s="7">
        <v>40.0</v>
      </c>
      <c r="F73" s="7">
        <v>18.0</v>
      </c>
      <c r="G73" s="7">
        <v>39.0</v>
      </c>
      <c r="H73" s="10">
        <v>22.0</v>
      </c>
      <c r="I73" s="10">
        <v>4.123</v>
      </c>
      <c r="J73" s="10" t="s">
        <v>437</v>
      </c>
      <c r="K73" s="11" t="str">
        <f t="shared" si="1"/>
        <v>Floor 3|2_pano</v>
      </c>
      <c r="U73" s="17"/>
    </row>
    <row r="74" ht="22.5" customHeight="1">
      <c r="A74" s="7" t="s">
        <v>438</v>
      </c>
      <c r="B74" s="8" t="s">
        <v>171</v>
      </c>
      <c r="C74" s="9">
        <v>3.1</v>
      </c>
      <c r="D74" s="8" t="s">
        <v>20</v>
      </c>
      <c r="E74" s="7">
        <v>31.0</v>
      </c>
      <c r="F74" s="7">
        <v>23.0</v>
      </c>
      <c r="G74" s="7">
        <v>36.0</v>
      </c>
      <c r="H74" s="10">
        <v>25.0</v>
      </c>
      <c r="I74" s="10">
        <v>5.385</v>
      </c>
      <c r="J74" s="10" t="s">
        <v>439</v>
      </c>
      <c r="K74" s="11" t="str">
        <f t="shared" si="1"/>
        <v>Floor 3|3.1</v>
      </c>
      <c r="U74" s="16"/>
    </row>
    <row r="75" ht="22.5" customHeight="1">
      <c r="A75" s="7" t="s">
        <v>440</v>
      </c>
      <c r="B75" s="8" t="s">
        <v>171</v>
      </c>
      <c r="C75" s="9">
        <v>3.1</v>
      </c>
      <c r="D75" s="8" t="s">
        <v>20</v>
      </c>
      <c r="E75" s="7">
        <v>31.0</v>
      </c>
      <c r="F75" s="7">
        <v>23.0</v>
      </c>
      <c r="G75" s="7">
        <v>34.0</v>
      </c>
      <c r="H75" s="10">
        <v>25.0</v>
      </c>
      <c r="I75" s="10">
        <v>3.606</v>
      </c>
      <c r="J75" s="10" t="s">
        <v>441</v>
      </c>
      <c r="K75" s="11" t="str">
        <f t="shared" si="1"/>
        <v>Floor 3|3.1</v>
      </c>
      <c r="U75" s="17"/>
    </row>
    <row r="76" ht="22.5" customHeight="1">
      <c r="A76" s="7" t="s">
        <v>442</v>
      </c>
      <c r="B76" s="8" t="s">
        <v>171</v>
      </c>
      <c r="C76" s="9">
        <v>3.1</v>
      </c>
      <c r="D76" s="8" t="s">
        <v>20</v>
      </c>
      <c r="E76" s="7">
        <v>31.0</v>
      </c>
      <c r="F76" s="7">
        <v>23.0</v>
      </c>
      <c r="G76" s="7">
        <v>33.0</v>
      </c>
      <c r="H76" s="10">
        <v>25.0</v>
      </c>
      <c r="I76" s="10">
        <v>2.828</v>
      </c>
      <c r="J76" s="10" t="s">
        <v>443</v>
      </c>
      <c r="K76" s="11" t="str">
        <f t="shared" si="1"/>
        <v>Floor 3|3.1</v>
      </c>
      <c r="U76" s="16"/>
    </row>
    <row r="77" ht="22.5" customHeight="1">
      <c r="A77" s="7" t="s">
        <v>444</v>
      </c>
      <c r="B77" s="8" t="s">
        <v>171</v>
      </c>
      <c r="C77" s="9">
        <v>3.2</v>
      </c>
      <c r="D77" s="8" t="s">
        <v>20</v>
      </c>
      <c r="E77" s="7">
        <v>31.0</v>
      </c>
      <c r="F77" s="7">
        <v>23.0</v>
      </c>
      <c r="G77" s="7">
        <v>36.0</v>
      </c>
      <c r="H77" s="10">
        <v>25.0</v>
      </c>
      <c r="I77" s="10">
        <v>5.385</v>
      </c>
      <c r="J77" s="10" t="s">
        <v>445</v>
      </c>
      <c r="K77" s="11" t="str">
        <f t="shared" si="1"/>
        <v>Floor 3|3.2</v>
      </c>
      <c r="U77" s="17"/>
    </row>
    <row r="78" ht="22.5" customHeight="1">
      <c r="A78" s="7" t="s">
        <v>446</v>
      </c>
      <c r="B78" s="8" t="s">
        <v>171</v>
      </c>
      <c r="C78" s="9">
        <v>3.2</v>
      </c>
      <c r="D78" s="8" t="s">
        <v>20</v>
      </c>
      <c r="E78" s="7">
        <v>31.0</v>
      </c>
      <c r="F78" s="7">
        <v>23.0</v>
      </c>
      <c r="G78" s="7">
        <v>36.0</v>
      </c>
      <c r="H78" s="10">
        <v>26.0</v>
      </c>
      <c r="I78" s="10">
        <v>5.831</v>
      </c>
      <c r="J78" s="10" t="s">
        <v>447</v>
      </c>
      <c r="K78" s="11" t="str">
        <f t="shared" si="1"/>
        <v>Floor 3|3.2</v>
      </c>
      <c r="U78" s="16"/>
    </row>
    <row r="79" ht="22.5" customHeight="1">
      <c r="A79" s="7" t="s">
        <v>448</v>
      </c>
      <c r="B79" s="8" t="s">
        <v>171</v>
      </c>
      <c r="C79" s="9">
        <v>3.2</v>
      </c>
      <c r="D79" s="8" t="s">
        <v>20</v>
      </c>
      <c r="E79" s="7">
        <v>31.0</v>
      </c>
      <c r="F79" s="7">
        <v>23.0</v>
      </c>
      <c r="G79" s="7">
        <v>37.0</v>
      </c>
      <c r="H79" s="10">
        <v>22.0</v>
      </c>
      <c r="I79" s="10">
        <v>6.083</v>
      </c>
      <c r="J79" s="10" t="s">
        <v>449</v>
      </c>
      <c r="K79" s="11" t="str">
        <f t="shared" si="1"/>
        <v>Floor 3|3.2</v>
      </c>
      <c r="U79" s="17"/>
    </row>
    <row r="80" ht="22.5" customHeight="1">
      <c r="A80" s="7" t="s">
        <v>450</v>
      </c>
      <c r="B80" s="8" t="s">
        <v>171</v>
      </c>
      <c r="C80" s="9" t="s">
        <v>95</v>
      </c>
      <c r="D80" s="8" t="s">
        <v>39</v>
      </c>
      <c r="E80" s="7">
        <v>31.0</v>
      </c>
      <c r="F80" s="7">
        <v>23.0</v>
      </c>
      <c r="G80" s="7">
        <v>37.0</v>
      </c>
      <c r="H80" s="10">
        <v>26.0</v>
      </c>
      <c r="I80" s="10">
        <v>6.708</v>
      </c>
      <c r="J80" s="10" t="s">
        <v>451</v>
      </c>
      <c r="K80" s="11" t="str">
        <f t="shared" si="1"/>
        <v>Floor 3|3_pano</v>
      </c>
      <c r="U80" s="16"/>
    </row>
    <row r="81" ht="22.5" customHeight="1">
      <c r="A81" s="7" t="s">
        <v>452</v>
      </c>
      <c r="B81" s="8" t="s">
        <v>171</v>
      </c>
      <c r="C81" s="9" t="s">
        <v>95</v>
      </c>
      <c r="D81" s="8" t="s">
        <v>39</v>
      </c>
      <c r="E81" s="7">
        <v>31.0</v>
      </c>
      <c r="F81" s="7">
        <v>23.0</v>
      </c>
      <c r="G81" s="7">
        <v>37.0</v>
      </c>
      <c r="H81" s="10">
        <v>28.0</v>
      </c>
      <c r="I81" s="10">
        <v>7.81</v>
      </c>
      <c r="J81" s="10" t="s">
        <v>453</v>
      </c>
      <c r="K81" s="11" t="str">
        <f t="shared" si="1"/>
        <v>Floor 3|3_pano</v>
      </c>
      <c r="U81" s="17"/>
    </row>
    <row r="82" ht="22.5" customHeight="1">
      <c r="A82" s="7" t="s">
        <v>454</v>
      </c>
      <c r="B82" s="8" t="s">
        <v>171</v>
      </c>
      <c r="C82" s="9" t="s">
        <v>95</v>
      </c>
      <c r="D82" s="8" t="s">
        <v>39</v>
      </c>
      <c r="E82" s="7">
        <v>31.0</v>
      </c>
      <c r="F82" s="7">
        <v>23.0</v>
      </c>
      <c r="G82" s="7">
        <v>39.0</v>
      </c>
      <c r="H82" s="10">
        <v>26.0</v>
      </c>
      <c r="I82" s="10">
        <v>8.544</v>
      </c>
      <c r="J82" s="10" t="s">
        <v>455</v>
      </c>
      <c r="K82" s="11" t="str">
        <f t="shared" si="1"/>
        <v>Floor 3|3_pano</v>
      </c>
      <c r="U82" s="20" t="s">
        <v>456</v>
      </c>
    </row>
    <row r="83" ht="22.5" customHeight="1">
      <c r="A83" s="7" t="s">
        <v>457</v>
      </c>
      <c r="B83" s="8" t="s">
        <v>171</v>
      </c>
      <c r="C83" s="9">
        <v>4.1</v>
      </c>
      <c r="D83" s="8" t="s">
        <v>20</v>
      </c>
      <c r="E83" s="7">
        <v>30.0</v>
      </c>
      <c r="F83" s="7">
        <v>17.0</v>
      </c>
      <c r="G83" s="7">
        <v>43.0</v>
      </c>
      <c r="H83" s="10">
        <v>30.0</v>
      </c>
      <c r="I83" s="10">
        <v>18.385</v>
      </c>
      <c r="J83" s="10" t="s">
        <v>458</v>
      </c>
      <c r="K83" s="11" t="str">
        <f t="shared" si="1"/>
        <v>Floor 3|4.1</v>
      </c>
      <c r="Q83" s="7"/>
      <c r="R83" s="7"/>
      <c r="S83" s="7"/>
      <c r="T83" s="7"/>
      <c r="U83" s="22" t="s">
        <v>456</v>
      </c>
      <c r="V83" s="7"/>
    </row>
    <row r="84" ht="22.5" customHeight="1">
      <c r="A84" s="7" t="s">
        <v>459</v>
      </c>
      <c r="B84" s="8" t="s">
        <v>171</v>
      </c>
      <c r="C84" s="9">
        <v>4.1</v>
      </c>
      <c r="D84" s="8" t="s">
        <v>20</v>
      </c>
      <c r="E84" s="7">
        <v>30.0</v>
      </c>
      <c r="F84" s="7">
        <v>17.0</v>
      </c>
      <c r="G84" s="7">
        <v>43.0</v>
      </c>
      <c r="H84" s="10">
        <v>29.0</v>
      </c>
      <c r="I84" s="10">
        <v>17.692</v>
      </c>
      <c r="J84" s="10" t="s">
        <v>460</v>
      </c>
      <c r="K84" s="11" t="str">
        <f t="shared" si="1"/>
        <v>Floor 3|4.1</v>
      </c>
      <c r="Q84" s="7"/>
      <c r="R84" s="7"/>
      <c r="S84" s="7"/>
      <c r="T84" s="7"/>
      <c r="U84" s="23" t="s">
        <v>456</v>
      </c>
      <c r="V84" s="7"/>
    </row>
    <row r="85" ht="22.5" customHeight="1">
      <c r="A85" s="7" t="s">
        <v>461</v>
      </c>
      <c r="B85" s="8" t="s">
        <v>171</v>
      </c>
      <c r="C85" s="9">
        <v>4.1</v>
      </c>
      <c r="D85" s="8" t="s">
        <v>20</v>
      </c>
      <c r="E85" s="7">
        <v>30.0</v>
      </c>
      <c r="F85" s="7">
        <v>17.0</v>
      </c>
      <c r="G85" s="7">
        <v>43.0</v>
      </c>
      <c r="H85" s="10">
        <v>29.0</v>
      </c>
      <c r="I85" s="10">
        <v>17.692</v>
      </c>
      <c r="J85" s="10" t="s">
        <v>462</v>
      </c>
      <c r="K85" s="11" t="str">
        <f t="shared" si="1"/>
        <v>Floor 3|4.1</v>
      </c>
      <c r="Q85" s="7"/>
      <c r="R85" s="7"/>
      <c r="S85" s="7"/>
      <c r="T85" s="7"/>
      <c r="U85" s="21"/>
      <c r="V85" s="7"/>
    </row>
    <row r="86" ht="22.5" customHeight="1">
      <c r="A86" s="7" t="s">
        <v>463</v>
      </c>
      <c r="B86" s="8" t="s">
        <v>171</v>
      </c>
      <c r="C86" s="9">
        <v>4.2</v>
      </c>
      <c r="D86" s="8" t="s">
        <v>20</v>
      </c>
      <c r="E86" s="7">
        <v>30.0</v>
      </c>
      <c r="F86" s="7">
        <v>17.0</v>
      </c>
      <c r="G86" s="7">
        <v>31.0</v>
      </c>
      <c r="H86" s="10">
        <v>20.0</v>
      </c>
      <c r="I86" s="10">
        <v>3.162</v>
      </c>
      <c r="J86" s="10" t="s">
        <v>464</v>
      </c>
      <c r="K86" s="11" t="str">
        <f t="shared" si="1"/>
        <v>Floor 3|4.2</v>
      </c>
      <c r="U86" s="16"/>
    </row>
    <row r="87" ht="22.5" customHeight="1">
      <c r="A87" s="7" t="s">
        <v>465</v>
      </c>
      <c r="B87" s="8" t="s">
        <v>171</v>
      </c>
      <c r="C87" s="9">
        <v>4.2</v>
      </c>
      <c r="D87" s="8" t="s">
        <v>20</v>
      </c>
      <c r="E87" s="7">
        <v>30.0</v>
      </c>
      <c r="F87" s="7">
        <v>17.0</v>
      </c>
      <c r="G87" s="7">
        <v>32.0</v>
      </c>
      <c r="H87" s="10">
        <v>20.0</v>
      </c>
      <c r="I87" s="10">
        <v>3.606</v>
      </c>
      <c r="J87" s="10" t="s">
        <v>466</v>
      </c>
      <c r="K87" s="11" t="str">
        <f t="shared" si="1"/>
        <v>Floor 3|4.2</v>
      </c>
      <c r="U87" s="17"/>
    </row>
    <row r="88" ht="22.5" customHeight="1">
      <c r="A88" s="7" t="s">
        <v>467</v>
      </c>
      <c r="B88" s="8" t="s">
        <v>171</v>
      </c>
      <c r="C88" s="9">
        <v>4.2</v>
      </c>
      <c r="D88" s="8" t="s">
        <v>20</v>
      </c>
      <c r="E88" s="7">
        <v>30.0</v>
      </c>
      <c r="F88" s="7">
        <v>17.0</v>
      </c>
      <c r="G88" s="7">
        <v>32.0</v>
      </c>
      <c r="H88" s="10">
        <v>20.0</v>
      </c>
      <c r="I88" s="10">
        <v>3.606</v>
      </c>
      <c r="J88" s="10" t="s">
        <v>468</v>
      </c>
      <c r="K88" s="11" t="str">
        <f t="shared" si="1"/>
        <v>Floor 3|4.2</v>
      </c>
      <c r="U88" s="20" t="s">
        <v>456</v>
      </c>
    </row>
    <row r="89" ht="22.5" customHeight="1">
      <c r="A89" s="7" t="s">
        <v>469</v>
      </c>
      <c r="B89" s="8" t="s">
        <v>171</v>
      </c>
      <c r="C89" s="9" t="s">
        <v>123</v>
      </c>
      <c r="D89" s="8" t="s">
        <v>39</v>
      </c>
      <c r="E89" s="7">
        <v>30.0</v>
      </c>
      <c r="F89" s="7">
        <v>17.0</v>
      </c>
      <c r="G89" s="7">
        <v>41.0</v>
      </c>
      <c r="H89" s="10">
        <v>29.0</v>
      </c>
      <c r="I89" s="10">
        <v>16.279</v>
      </c>
      <c r="J89" s="10" t="s">
        <v>470</v>
      </c>
      <c r="K89" s="11" t="str">
        <f t="shared" si="1"/>
        <v>Floor 3|4.pano</v>
      </c>
      <c r="Q89" s="7"/>
      <c r="R89" s="7"/>
      <c r="S89" s="7"/>
      <c r="T89" s="7"/>
      <c r="U89" s="22" t="s">
        <v>456</v>
      </c>
      <c r="V89" s="7"/>
    </row>
    <row r="90" ht="22.5" customHeight="1">
      <c r="A90" s="7" t="s">
        <v>471</v>
      </c>
      <c r="B90" s="8" t="s">
        <v>171</v>
      </c>
      <c r="C90" s="9" t="s">
        <v>123</v>
      </c>
      <c r="D90" s="8" t="s">
        <v>39</v>
      </c>
      <c r="E90" s="7">
        <v>30.0</v>
      </c>
      <c r="F90" s="7">
        <v>17.0</v>
      </c>
      <c r="G90" s="7">
        <v>41.0</v>
      </c>
      <c r="H90" s="10">
        <v>29.0</v>
      </c>
      <c r="I90" s="10">
        <v>16.279</v>
      </c>
      <c r="J90" s="10" t="s">
        <v>472</v>
      </c>
      <c r="K90" s="11" t="str">
        <f t="shared" si="1"/>
        <v>Floor 3|4.pano</v>
      </c>
      <c r="Q90" s="7"/>
      <c r="R90" s="7"/>
      <c r="S90" s="7"/>
      <c r="T90" s="7"/>
      <c r="U90" s="23" t="s">
        <v>456</v>
      </c>
      <c r="V90" s="7"/>
    </row>
    <row r="91" ht="22.5" customHeight="1">
      <c r="A91" s="7" t="s">
        <v>473</v>
      </c>
      <c r="B91" s="8" t="s">
        <v>171</v>
      </c>
      <c r="C91" s="9" t="s">
        <v>123</v>
      </c>
      <c r="D91" s="8" t="s">
        <v>39</v>
      </c>
      <c r="E91" s="7">
        <v>30.0</v>
      </c>
      <c r="F91" s="7">
        <v>17.0</v>
      </c>
      <c r="G91" s="7">
        <v>43.0</v>
      </c>
      <c r="H91" s="10">
        <v>30.0</v>
      </c>
      <c r="I91" s="10">
        <v>18.385</v>
      </c>
      <c r="J91" s="10" t="s">
        <v>474</v>
      </c>
      <c r="K91" s="11" t="str">
        <f t="shared" si="1"/>
        <v>Floor 3|4.pano</v>
      </c>
      <c r="Q91" s="7"/>
      <c r="R91" s="7"/>
      <c r="S91" s="7"/>
      <c r="T91" s="7"/>
      <c r="U91" s="21"/>
      <c r="V91" s="7"/>
    </row>
    <row r="92" ht="22.5" customHeight="1">
      <c r="A92" s="7" t="s">
        <v>475</v>
      </c>
      <c r="B92" s="8" t="s">
        <v>171</v>
      </c>
      <c r="C92" s="9">
        <v>5.1</v>
      </c>
      <c r="D92" s="8" t="s">
        <v>20</v>
      </c>
      <c r="E92" s="7">
        <v>40.0</v>
      </c>
      <c r="F92" s="7">
        <v>31.0</v>
      </c>
      <c r="G92" s="7">
        <v>23.0</v>
      </c>
      <c r="H92" s="10">
        <v>38.0</v>
      </c>
      <c r="I92" s="10">
        <v>18.385</v>
      </c>
      <c r="J92" s="10" t="s">
        <v>476</v>
      </c>
      <c r="K92" s="11" t="str">
        <f t="shared" si="1"/>
        <v>Floor 3|5.1</v>
      </c>
      <c r="U92" s="16"/>
    </row>
    <row r="93" ht="22.5" customHeight="1">
      <c r="A93" s="7" t="s">
        <v>477</v>
      </c>
      <c r="B93" s="8" t="s">
        <v>171</v>
      </c>
      <c r="C93" s="9">
        <v>5.1</v>
      </c>
      <c r="D93" s="8" t="s">
        <v>20</v>
      </c>
      <c r="E93" s="7">
        <v>40.0</v>
      </c>
      <c r="F93" s="7">
        <v>31.0</v>
      </c>
      <c r="G93" s="7">
        <v>24.0</v>
      </c>
      <c r="H93" s="10">
        <v>39.0</v>
      </c>
      <c r="I93" s="10">
        <v>17.889</v>
      </c>
      <c r="J93" s="10" t="s">
        <v>478</v>
      </c>
      <c r="K93" s="11" t="str">
        <f t="shared" si="1"/>
        <v>Floor 3|5.1</v>
      </c>
      <c r="U93" s="17"/>
    </row>
    <row r="94" ht="22.5" customHeight="1">
      <c r="A94" s="7" t="s">
        <v>479</v>
      </c>
      <c r="B94" s="8" t="s">
        <v>171</v>
      </c>
      <c r="C94" s="9">
        <v>5.1</v>
      </c>
      <c r="D94" s="8" t="s">
        <v>20</v>
      </c>
      <c r="E94" s="7">
        <v>40.0</v>
      </c>
      <c r="F94" s="7">
        <v>31.0</v>
      </c>
      <c r="G94" s="7">
        <v>32.0</v>
      </c>
      <c r="H94" s="10">
        <v>39.0</v>
      </c>
      <c r="I94" s="10">
        <v>11.314</v>
      </c>
      <c r="J94" s="10" t="s">
        <v>480</v>
      </c>
      <c r="K94" s="11" t="str">
        <f t="shared" si="1"/>
        <v>Floor 3|5.1</v>
      </c>
      <c r="U94" s="16"/>
    </row>
    <row r="95" ht="22.5" customHeight="1">
      <c r="A95" s="7" t="s">
        <v>481</v>
      </c>
      <c r="B95" s="8" t="s">
        <v>171</v>
      </c>
      <c r="C95" s="9">
        <v>5.2</v>
      </c>
      <c r="D95" s="8" t="s">
        <v>20</v>
      </c>
      <c r="E95" s="7">
        <v>40.0</v>
      </c>
      <c r="F95" s="7">
        <v>31.0</v>
      </c>
      <c r="G95" s="7">
        <v>39.0</v>
      </c>
      <c r="H95" s="10">
        <v>23.0</v>
      </c>
      <c r="I95" s="10">
        <v>8.062</v>
      </c>
      <c r="J95" s="10" t="s">
        <v>482</v>
      </c>
      <c r="K95" s="11" t="str">
        <f t="shared" si="1"/>
        <v>Floor 3|5.2</v>
      </c>
      <c r="U95" s="18" t="s">
        <v>483</v>
      </c>
    </row>
    <row r="96" ht="22.5" customHeight="1">
      <c r="A96" s="7" t="s">
        <v>484</v>
      </c>
      <c r="B96" s="8" t="s">
        <v>171</v>
      </c>
      <c r="C96" s="9">
        <v>5.2</v>
      </c>
      <c r="D96" s="8" t="s">
        <v>20</v>
      </c>
      <c r="E96" s="7">
        <v>40.0</v>
      </c>
      <c r="F96" s="7">
        <v>31.0</v>
      </c>
      <c r="G96" s="7">
        <v>40.0</v>
      </c>
      <c r="H96" s="10">
        <v>29.0</v>
      </c>
      <c r="I96" s="10">
        <v>2.0</v>
      </c>
      <c r="J96" s="10" t="s">
        <v>485</v>
      </c>
      <c r="K96" s="11" t="str">
        <f t="shared" si="1"/>
        <v>Floor 3|5.2</v>
      </c>
      <c r="Q96" s="7"/>
      <c r="R96" s="7"/>
      <c r="S96" s="7"/>
      <c r="T96" s="7"/>
      <c r="U96" s="19"/>
      <c r="V96" s="7"/>
    </row>
    <row r="97" ht="22.5" customHeight="1">
      <c r="A97" s="7" t="s">
        <v>486</v>
      </c>
      <c r="B97" s="8" t="s">
        <v>171</v>
      </c>
      <c r="C97" s="9">
        <v>5.2</v>
      </c>
      <c r="D97" s="8" t="s">
        <v>20</v>
      </c>
      <c r="E97" s="7">
        <v>40.0</v>
      </c>
      <c r="F97" s="7">
        <v>31.0</v>
      </c>
      <c r="G97" s="7">
        <v>40.0</v>
      </c>
      <c r="H97" s="10">
        <v>29.0</v>
      </c>
      <c r="I97" s="10">
        <v>2.0</v>
      </c>
      <c r="J97" s="10" t="s">
        <v>487</v>
      </c>
      <c r="K97" s="11" t="str">
        <f t="shared" si="1"/>
        <v>Floor 3|5.2</v>
      </c>
      <c r="U97" s="17"/>
    </row>
    <row r="98" ht="22.5" customHeight="1">
      <c r="A98" s="7" t="s">
        <v>488</v>
      </c>
      <c r="B98" s="8" t="s">
        <v>171</v>
      </c>
      <c r="C98" s="9" t="s">
        <v>145</v>
      </c>
      <c r="D98" s="8" t="s">
        <v>39</v>
      </c>
      <c r="E98" s="7">
        <v>40.0</v>
      </c>
      <c r="F98" s="7">
        <v>31.0</v>
      </c>
      <c r="G98" s="7">
        <v>39.0</v>
      </c>
      <c r="H98" s="10">
        <v>15.0</v>
      </c>
      <c r="I98" s="10">
        <v>16.031</v>
      </c>
      <c r="J98" s="10" t="s">
        <v>489</v>
      </c>
      <c r="K98" s="11" t="str">
        <f t="shared" si="1"/>
        <v>Floor 3|5.pano</v>
      </c>
      <c r="U98" s="16"/>
    </row>
    <row r="99" ht="22.5" customHeight="1">
      <c r="A99" s="7" t="s">
        <v>490</v>
      </c>
      <c r="B99" s="8" t="s">
        <v>171</v>
      </c>
      <c r="C99" s="9" t="s">
        <v>145</v>
      </c>
      <c r="D99" s="8" t="s">
        <v>39</v>
      </c>
      <c r="E99" s="7">
        <v>40.0</v>
      </c>
      <c r="F99" s="7">
        <v>31.0</v>
      </c>
      <c r="G99" s="7">
        <v>47.0</v>
      </c>
      <c r="H99" s="10">
        <v>30.0</v>
      </c>
      <c r="I99" s="10">
        <v>7.071</v>
      </c>
      <c r="J99" s="10" t="s">
        <v>491</v>
      </c>
      <c r="K99" s="11" t="str">
        <f t="shared" si="1"/>
        <v>Floor 3|5.pano</v>
      </c>
      <c r="U99" s="17"/>
    </row>
    <row r="100" ht="22.5" customHeight="1">
      <c r="A100" s="7" t="s">
        <v>492</v>
      </c>
      <c r="B100" s="8" t="s">
        <v>171</v>
      </c>
      <c r="C100" s="9" t="s">
        <v>145</v>
      </c>
      <c r="D100" s="8" t="s">
        <v>39</v>
      </c>
      <c r="E100" s="7">
        <v>40.0</v>
      </c>
      <c r="F100" s="7">
        <v>31.0</v>
      </c>
      <c r="G100" s="7">
        <v>38.0</v>
      </c>
      <c r="H100" s="10">
        <v>30.0</v>
      </c>
      <c r="I100" s="10">
        <v>2.236</v>
      </c>
      <c r="J100" s="10" t="s">
        <v>493</v>
      </c>
      <c r="K100" s="11" t="str">
        <f t="shared" si="1"/>
        <v>Floor 3|5.pano</v>
      </c>
      <c r="U100" s="16"/>
    </row>
    <row r="101" ht="22.5" customHeight="1">
      <c r="A101" s="7" t="s">
        <v>494</v>
      </c>
      <c r="B101" s="8" t="s">
        <v>171</v>
      </c>
      <c r="C101" s="9">
        <v>6.1</v>
      </c>
      <c r="D101" s="8" t="s">
        <v>20</v>
      </c>
      <c r="E101" s="7">
        <v>48.0</v>
      </c>
      <c r="F101" s="7">
        <v>25.0</v>
      </c>
      <c r="G101" s="7">
        <v>39.0</v>
      </c>
      <c r="H101" s="10">
        <v>21.0</v>
      </c>
      <c r="I101" s="10">
        <v>9.849</v>
      </c>
      <c r="J101" s="10" t="s">
        <v>495</v>
      </c>
      <c r="K101" s="11" t="str">
        <f t="shared" si="1"/>
        <v>Floor 3|6.1</v>
      </c>
      <c r="U101" s="17"/>
    </row>
    <row r="102" ht="22.5" customHeight="1">
      <c r="A102" s="7" t="s">
        <v>496</v>
      </c>
      <c r="B102" s="8" t="s">
        <v>171</v>
      </c>
      <c r="C102" s="9">
        <v>6.1</v>
      </c>
      <c r="D102" s="8" t="s">
        <v>20</v>
      </c>
      <c r="E102" s="7">
        <v>48.0</v>
      </c>
      <c r="F102" s="7">
        <v>25.0</v>
      </c>
      <c r="G102" s="7">
        <v>39.0</v>
      </c>
      <c r="H102" s="10">
        <v>21.0</v>
      </c>
      <c r="I102" s="10">
        <v>9.849</v>
      </c>
      <c r="J102" s="10" t="s">
        <v>497</v>
      </c>
      <c r="K102" s="11" t="str">
        <f t="shared" si="1"/>
        <v>Floor 3|6.1</v>
      </c>
      <c r="U102" s="16"/>
    </row>
    <row r="103" ht="22.5" customHeight="1">
      <c r="A103" s="7" t="s">
        <v>498</v>
      </c>
      <c r="B103" s="8" t="s">
        <v>171</v>
      </c>
      <c r="C103" s="9">
        <v>6.1</v>
      </c>
      <c r="D103" s="8" t="s">
        <v>20</v>
      </c>
      <c r="E103" s="7">
        <v>48.0</v>
      </c>
      <c r="F103" s="7">
        <v>25.0</v>
      </c>
      <c r="G103" s="7">
        <v>39.0</v>
      </c>
      <c r="H103" s="10">
        <v>23.0</v>
      </c>
      <c r="I103" s="10">
        <v>9.22</v>
      </c>
      <c r="J103" s="10" t="s">
        <v>499</v>
      </c>
      <c r="K103" s="11" t="str">
        <f t="shared" si="1"/>
        <v>Floor 3|6.1</v>
      </c>
      <c r="U103" s="17"/>
    </row>
    <row r="104" ht="22.5" customHeight="1">
      <c r="A104" s="7" t="s">
        <v>500</v>
      </c>
      <c r="B104" s="8" t="s">
        <v>171</v>
      </c>
      <c r="C104" s="9">
        <v>6.2</v>
      </c>
      <c r="D104" s="8" t="s">
        <v>20</v>
      </c>
      <c r="E104" s="7">
        <v>48.0</v>
      </c>
      <c r="F104" s="7">
        <v>25.0</v>
      </c>
      <c r="G104" s="7">
        <v>39.0</v>
      </c>
      <c r="H104" s="10">
        <v>20.0</v>
      </c>
      <c r="I104" s="10">
        <v>10.296</v>
      </c>
      <c r="J104" s="10" t="s">
        <v>501</v>
      </c>
      <c r="K104" s="11" t="str">
        <f t="shared" si="1"/>
        <v>Floor 3|6.2</v>
      </c>
      <c r="U104" s="16"/>
    </row>
    <row r="105" ht="22.5" customHeight="1">
      <c r="A105" s="7" t="s">
        <v>502</v>
      </c>
      <c r="B105" s="8" t="s">
        <v>171</v>
      </c>
      <c r="C105" s="9">
        <v>6.2</v>
      </c>
      <c r="D105" s="8" t="s">
        <v>20</v>
      </c>
      <c r="E105" s="7">
        <v>48.0</v>
      </c>
      <c r="F105" s="7">
        <v>25.0</v>
      </c>
      <c r="G105" s="7">
        <v>39.0</v>
      </c>
      <c r="H105" s="10">
        <v>20.0</v>
      </c>
      <c r="I105" s="10">
        <v>10.296</v>
      </c>
      <c r="J105" s="10" t="s">
        <v>503</v>
      </c>
      <c r="K105" s="11" t="str">
        <f t="shared" si="1"/>
        <v>Floor 3|6.2</v>
      </c>
      <c r="U105" s="17"/>
    </row>
    <row r="106" ht="22.5" customHeight="1">
      <c r="A106" s="7" t="s">
        <v>504</v>
      </c>
      <c r="B106" s="8" t="s">
        <v>171</v>
      </c>
      <c r="C106" s="9">
        <v>6.2</v>
      </c>
      <c r="D106" s="8" t="s">
        <v>20</v>
      </c>
      <c r="E106" s="7">
        <v>48.0</v>
      </c>
      <c r="F106" s="7">
        <v>25.0</v>
      </c>
      <c r="G106" s="7">
        <v>39.0</v>
      </c>
      <c r="H106" s="10">
        <v>20.0</v>
      </c>
      <c r="I106" s="10">
        <v>10.296</v>
      </c>
      <c r="J106" s="10" t="s">
        <v>505</v>
      </c>
      <c r="K106" s="11" t="str">
        <f t="shared" si="1"/>
        <v>Floor 3|6.2</v>
      </c>
      <c r="U106" s="16"/>
    </row>
    <row r="107" ht="22.5" customHeight="1">
      <c r="A107" s="7" t="s">
        <v>506</v>
      </c>
      <c r="B107" s="8" t="s">
        <v>171</v>
      </c>
      <c r="C107" s="9" t="s">
        <v>164</v>
      </c>
      <c r="D107" s="8" t="s">
        <v>39</v>
      </c>
      <c r="E107" s="7">
        <v>48.0</v>
      </c>
      <c r="F107" s="7">
        <v>25.0</v>
      </c>
      <c r="G107" s="7">
        <v>39.0</v>
      </c>
      <c r="H107" s="10">
        <v>20.0</v>
      </c>
      <c r="I107" s="10">
        <v>10.296</v>
      </c>
      <c r="J107" s="10" t="s">
        <v>507</v>
      </c>
      <c r="K107" s="11" t="str">
        <f t="shared" si="1"/>
        <v>Floor 3|6_pano</v>
      </c>
      <c r="U107" s="17"/>
    </row>
    <row r="108" ht="22.5" customHeight="1">
      <c r="A108" s="7" t="s">
        <v>508</v>
      </c>
      <c r="B108" s="8" t="s">
        <v>171</v>
      </c>
      <c r="C108" s="9" t="s">
        <v>164</v>
      </c>
      <c r="D108" s="8" t="s">
        <v>39</v>
      </c>
      <c r="E108" s="7">
        <v>48.0</v>
      </c>
      <c r="F108" s="7">
        <v>25.0</v>
      </c>
      <c r="G108" s="7">
        <v>39.0</v>
      </c>
      <c r="H108" s="10">
        <v>22.0</v>
      </c>
      <c r="I108" s="10">
        <v>9.487</v>
      </c>
      <c r="J108" s="10" t="s">
        <v>509</v>
      </c>
      <c r="K108" s="11" t="str">
        <f t="shared" si="1"/>
        <v>Floor 3|6_pano</v>
      </c>
      <c r="U108" s="24"/>
    </row>
    <row r="109" ht="22.5" customHeight="1">
      <c r="A109" s="7" t="s">
        <v>510</v>
      </c>
      <c r="B109" s="8" t="s">
        <v>171</v>
      </c>
      <c r="C109" s="9" t="s">
        <v>164</v>
      </c>
      <c r="D109" s="8" t="s">
        <v>39</v>
      </c>
      <c r="E109" s="7">
        <v>48.0</v>
      </c>
      <c r="F109" s="7">
        <v>25.0</v>
      </c>
      <c r="G109" s="7">
        <v>39.0</v>
      </c>
      <c r="H109" s="10">
        <v>20.0</v>
      </c>
      <c r="I109" s="10">
        <v>10.296</v>
      </c>
      <c r="J109" s="10" t="s">
        <v>511</v>
      </c>
      <c r="K109" s="11" t="str">
        <f t="shared" si="1"/>
        <v>Floor 3|6_pano</v>
      </c>
    </row>
  </sheetData>
  <dataValidations>
    <dataValidation type="list" allowBlank="1" sqref="B2:B109">
      <formula1>"Floor 3,Floor 5"</formula1>
    </dataValidation>
    <dataValidation type="list" allowBlank="1" sqref="D2:D109">
      <formula1>"Wide,Panorama"</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5" max="5" width="17.38"/>
    <col customWidth="1" min="6" max="6" width="17.75"/>
    <col customWidth="1" min="7" max="8" width="15.75"/>
    <col customWidth="1" min="9" max="9" width="21.0"/>
    <col customWidth="1" min="10" max="10" width="19.38"/>
  </cols>
  <sheetData>
    <row r="1" ht="22.5" customHeight="1">
      <c r="A1" s="25" t="s">
        <v>0</v>
      </c>
      <c r="B1" s="25" t="s">
        <v>1</v>
      </c>
      <c r="C1" s="25" t="s">
        <v>2</v>
      </c>
      <c r="D1" s="25" t="s">
        <v>3</v>
      </c>
      <c r="E1" s="25" t="s">
        <v>4</v>
      </c>
      <c r="F1" s="25" t="s">
        <v>5</v>
      </c>
      <c r="G1" s="25" t="s">
        <v>6</v>
      </c>
      <c r="H1" s="25" t="s">
        <v>7</v>
      </c>
      <c r="I1" s="26" t="s">
        <v>8</v>
      </c>
      <c r="J1" s="26" t="s">
        <v>9</v>
      </c>
      <c r="K1" s="27" t="s">
        <v>10</v>
      </c>
      <c r="M1" s="4" t="s">
        <v>12</v>
      </c>
      <c r="N1" s="28" t="s">
        <v>13</v>
      </c>
      <c r="O1" s="28" t="s">
        <v>14</v>
      </c>
      <c r="P1" s="29" t="s">
        <v>15</v>
      </c>
      <c r="Q1" s="30" t="s">
        <v>283</v>
      </c>
      <c r="R1" s="29" t="s">
        <v>16</v>
      </c>
      <c r="S1" s="29" t="s">
        <v>17</v>
      </c>
      <c r="T1" s="6" t="s">
        <v>284</v>
      </c>
    </row>
    <row r="2" ht="22.5" customHeight="1">
      <c r="A2" s="28" t="s">
        <v>512</v>
      </c>
      <c r="B2" s="8" t="s">
        <v>19</v>
      </c>
      <c r="C2" s="9">
        <v>1.1</v>
      </c>
      <c r="D2" s="8" t="s">
        <v>20</v>
      </c>
      <c r="E2" s="7">
        <v>39.0</v>
      </c>
      <c r="F2" s="7">
        <v>15.0</v>
      </c>
      <c r="G2" s="9">
        <v>37.0</v>
      </c>
      <c r="H2" s="31">
        <v>18.0</v>
      </c>
      <c r="I2" s="31">
        <v>3.606</v>
      </c>
      <c r="J2" s="31" t="s">
        <v>513</v>
      </c>
      <c r="K2" s="11" t="str">
        <f t="shared" ref="K2:K109" si="1">B2&amp;"|"&amp;C2</f>
        <v>Floor 5|1.1</v>
      </c>
      <c r="M2" s="15" t="str">
        <f t="array" ref="M2:M37">UNIQUE(K2:K109)</f>
        <v>Floor 5|1.1</v>
      </c>
      <c r="N2" s="32">
        <f>IFERROR(__xludf.DUMMYFUNCTION("MIN(FILTER($I$2:$I109,$K$2:$K109=M2))"),2.828)</f>
        <v>2.828</v>
      </c>
      <c r="O2" s="32">
        <f>IFERROR(__xludf.DUMMYFUNCTION("MAX(FILTER($I$2:$I109,$K$2:$K109=M2))"),3.606)</f>
        <v>3.606</v>
      </c>
      <c r="P2" s="7">
        <f t="shared" ref="P2:P37" si="2">O2-N2</f>
        <v>0.778</v>
      </c>
      <c r="R2" s="15">
        <f>COUNTIF(P2:P109,"&gt;0")</f>
        <v>33</v>
      </c>
      <c r="S2" s="15">
        <f>COUNTIF(P2:P109,"&gt;0")/COUNTA(M2:M109)</f>
        <v>0.9166666667</v>
      </c>
    </row>
    <row r="3" ht="22.5" customHeight="1">
      <c r="A3" s="28" t="s">
        <v>514</v>
      </c>
      <c r="B3" s="8" t="s">
        <v>19</v>
      </c>
      <c r="C3" s="9">
        <v>1.1</v>
      </c>
      <c r="D3" s="8" t="s">
        <v>20</v>
      </c>
      <c r="E3" s="7">
        <v>39.0</v>
      </c>
      <c r="F3" s="7">
        <v>15.0</v>
      </c>
      <c r="G3" s="9">
        <v>37.0</v>
      </c>
      <c r="H3" s="31">
        <v>18.0</v>
      </c>
      <c r="I3" s="31">
        <v>3.606</v>
      </c>
      <c r="J3" s="31" t="s">
        <v>515</v>
      </c>
      <c r="K3" s="11" t="str">
        <f t="shared" si="1"/>
        <v>Floor 5|1.1</v>
      </c>
      <c r="M3" s="15" t="s">
        <v>24</v>
      </c>
      <c r="N3" s="32">
        <f>IFERROR(__xludf.DUMMYFUNCTION("MIN(FILTER($I$2:$I109,$K$2:$K109=M3))"),3.606)</f>
        <v>3.606</v>
      </c>
      <c r="O3" s="32">
        <f>IFERROR(__xludf.DUMMYFUNCTION("MAX(FILTER($I$2:$I109,$K$2:$K109=M3))"),4.243)</f>
        <v>4.243</v>
      </c>
      <c r="P3" s="7">
        <f t="shared" si="2"/>
        <v>0.637</v>
      </c>
      <c r="R3" s="15">
        <f>COUNTIF(P2:P109,"&gt;1")</f>
        <v>20</v>
      </c>
      <c r="S3" s="15">
        <f>COUNTIF(P2:P109,"&gt;1")/COUNTA(M2:M109)</f>
        <v>0.5555555556</v>
      </c>
      <c r="T3" s="12">
        <f>AVERAGEIF(D:D,"Panorama",I:I)</f>
        <v>10.08011111</v>
      </c>
    </row>
    <row r="4" ht="22.5" customHeight="1">
      <c r="A4" s="28" t="s">
        <v>516</v>
      </c>
      <c r="B4" s="8" t="s">
        <v>19</v>
      </c>
      <c r="C4" s="9">
        <v>1.1</v>
      </c>
      <c r="D4" s="8" t="s">
        <v>20</v>
      </c>
      <c r="E4" s="7">
        <v>39.0</v>
      </c>
      <c r="F4" s="7">
        <v>15.0</v>
      </c>
      <c r="G4" s="9">
        <v>37.0</v>
      </c>
      <c r="H4" s="31">
        <v>17.0</v>
      </c>
      <c r="I4" s="31">
        <v>2.828</v>
      </c>
      <c r="J4" s="31" t="s">
        <v>517</v>
      </c>
      <c r="K4" s="11" t="str">
        <f t="shared" si="1"/>
        <v>Floor 5|1.1</v>
      </c>
      <c r="M4" s="15" t="s">
        <v>27</v>
      </c>
      <c r="N4" s="32">
        <f>IFERROR(__xludf.DUMMYFUNCTION("MIN(FILTER($I$2:$I109,$K$2:$K109=M4))"),2.236)</f>
        <v>2.236</v>
      </c>
      <c r="O4" s="32">
        <f>IFERROR(__xludf.DUMMYFUNCTION("MAX(FILTER($I$2:$I109,$K$2:$K109=M4))"),4.243)</f>
        <v>4.243</v>
      </c>
      <c r="P4" s="7">
        <f t="shared" si="2"/>
        <v>2.007</v>
      </c>
      <c r="R4" s="15">
        <f>COUNTIF(P2:P109,"&gt;3")</f>
        <v>4</v>
      </c>
      <c r="S4" s="15">
        <f>COUNTIF(P2:P109,"&gt;3")/COUNTA(M2:M109)</f>
        <v>0.1111111111</v>
      </c>
      <c r="T4" s="12">
        <f>AVERAGEIF(D:D,"Wide",I:I)</f>
        <v>9.317111111</v>
      </c>
    </row>
    <row r="5" ht="22.5" customHeight="1">
      <c r="A5" s="28" t="s">
        <v>518</v>
      </c>
      <c r="B5" s="8" t="s">
        <v>19</v>
      </c>
      <c r="C5" s="9">
        <v>1.2</v>
      </c>
      <c r="D5" s="8" t="s">
        <v>20</v>
      </c>
      <c r="E5" s="7">
        <v>39.0</v>
      </c>
      <c r="F5" s="7">
        <v>15.0</v>
      </c>
      <c r="G5" s="9">
        <v>36.0</v>
      </c>
      <c r="H5" s="31">
        <v>18.0</v>
      </c>
      <c r="I5" s="31">
        <v>4.243</v>
      </c>
      <c r="J5" s="31" t="s">
        <v>519</v>
      </c>
      <c r="K5" s="11" t="str">
        <f t="shared" si="1"/>
        <v>Floor 5|1.2</v>
      </c>
      <c r="M5" s="15" t="s">
        <v>30</v>
      </c>
      <c r="N5" s="32">
        <f>IFERROR(__xludf.DUMMYFUNCTION("MIN(FILTER($I$2:$I109,$K$2:$K109=M5))"),1.0)</f>
        <v>1</v>
      </c>
      <c r="O5" s="32">
        <f>IFERROR(__xludf.DUMMYFUNCTION("MAX(FILTER($I$2:$I109,$K$2:$K109=M5))"),3.0)</f>
        <v>3</v>
      </c>
      <c r="P5" s="7">
        <f t="shared" si="2"/>
        <v>2</v>
      </c>
      <c r="R5" s="15">
        <f>COUNTIF(P2:P109,"&gt;5")</f>
        <v>2</v>
      </c>
      <c r="S5" s="15">
        <f>COUNTIF(P2:P109,"&gt;5")/COUNTA(M2:M109)</f>
        <v>0.05555555556</v>
      </c>
      <c r="T5" s="6">
        <f>AVERAGE(I:I)</f>
        <v>9.571444444</v>
      </c>
    </row>
    <row r="6" ht="22.5" customHeight="1">
      <c r="A6" s="28" t="s">
        <v>520</v>
      </c>
      <c r="B6" s="8" t="s">
        <v>19</v>
      </c>
      <c r="C6" s="9">
        <v>1.2</v>
      </c>
      <c r="D6" s="8" t="s">
        <v>20</v>
      </c>
      <c r="E6" s="7">
        <v>39.0</v>
      </c>
      <c r="F6" s="7">
        <v>15.0</v>
      </c>
      <c r="G6" s="9">
        <v>37.0</v>
      </c>
      <c r="H6" s="31">
        <v>18.0</v>
      </c>
      <c r="I6" s="31">
        <v>3.606</v>
      </c>
      <c r="J6" s="31" t="s">
        <v>521</v>
      </c>
      <c r="K6" s="11" t="str">
        <f t="shared" si="1"/>
        <v>Floor 5|1.2</v>
      </c>
      <c r="M6" s="15" t="s">
        <v>33</v>
      </c>
      <c r="N6" s="32">
        <f>IFERROR(__xludf.DUMMYFUNCTION("MIN(FILTER($I$2:$I109,$K$2:$K109=M6))"),0.0)</f>
        <v>0</v>
      </c>
      <c r="O6" s="32">
        <f>IFERROR(__xludf.DUMMYFUNCTION("MAX(FILTER($I$2:$I109,$K$2:$K109=M6))"),1.0)</f>
        <v>1</v>
      </c>
      <c r="P6" s="7">
        <f t="shared" si="2"/>
        <v>1</v>
      </c>
      <c r="R6" s="15">
        <f>COUNTIF(P3:P109,"&gt;10")</f>
        <v>0</v>
      </c>
      <c r="S6" s="15">
        <f>COUNTIF(P3:P109,"&gt;10")/COUNTA(M3:M109)</f>
        <v>0</v>
      </c>
      <c r="T6" s="12">
        <f>AVERAGEIF(B:B, "Floor 5", I:I)</f>
        <v>6.652962963</v>
      </c>
    </row>
    <row r="7" ht="22.5" customHeight="1">
      <c r="A7" s="28" t="s">
        <v>522</v>
      </c>
      <c r="B7" s="8" t="s">
        <v>19</v>
      </c>
      <c r="C7" s="9">
        <v>1.2</v>
      </c>
      <c r="D7" s="8" t="s">
        <v>20</v>
      </c>
      <c r="E7" s="7">
        <v>39.0</v>
      </c>
      <c r="F7" s="7">
        <v>15.0</v>
      </c>
      <c r="G7" s="9">
        <v>36.0</v>
      </c>
      <c r="H7" s="31">
        <v>17.0</v>
      </c>
      <c r="I7" s="31">
        <v>3.606</v>
      </c>
      <c r="J7" s="31" t="s">
        <v>523</v>
      </c>
      <c r="K7" s="11" t="str">
        <f t="shared" si="1"/>
        <v>Floor 5|1.2</v>
      </c>
      <c r="M7" s="15" t="s">
        <v>36</v>
      </c>
      <c r="N7" s="32">
        <f>IFERROR(__xludf.DUMMYFUNCTION("MIN(FILTER($I$2:$I109,$K$2:$K109=M7))"),1.0)</f>
        <v>1</v>
      </c>
      <c r="O7" s="32">
        <f>IFERROR(__xludf.DUMMYFUNCTION("MAX(FILTER($I$2:$I109,$K$2:$K109=M7))"),1.414)</f>
        <v>1.414</v>
      </c>
      <c r="P7" s="7">
        <f t="shared" si="2"/>
        <v>0.414</v>
      </c>
      <c r="R7" s="11"/>
      <c r="S7" s="11"/>
      <c r="T7" s="12">
        <f>AVERAGEIF(B:B, "Floor 3", I:I)</f>
        <v>12.48992593</v>
      </c>
    </row>
    <row r="8" ht="22.5" customHeight="1">
      <c r="A8" s="28" t="s">
        <v>524</v>
      </c>
      <c r="B8" s="8" t="s">
        <v>19</v>
      </c>
      <c r="C8" s="9" t="s">
        <v>38</v>
      </c>
      <c r="D8" s="8" t="s">
        <v>39</v>
      </c>
      <c r="E8" s="7">
        <v>39.0</v>
      </c>
      <c r="F8" s="7">
        <v>15.0</v>
      </c>
      <c r="G8" s="9">
        <v>39.0</v>
      </c>
      <c r="H8" s="31">
        <v>15.0</v>
      </c>
      <c r="I8" s="31">
        <v>2.236</v>
      </c>
      <c r="J8" s="31" t="s">
        <v>525</v>
      </c>
      <c r="K8" s="11" t="str">
        <f t="shared" si="1"/>
        <v>Floor 5|1_pano</v>
      </c>
      <c r="M8" s="15" t="s">
        <v>41</v>
      </c>
      <c r="N8" s="32">
        <f>IFERROR(__xludf.DUMMYFUNCTION("MIN(FILTER($I$2:$I109,$K$2:$K109=M8))"),7.071)</f>
        <v>7.071</v>
      </c>
      <c r="O8" s="32">
        <f>IFERROR(__xludf.DUMMYFUNCTION("MAX(FILTER($I$2:$I109,$K$2:$K109=M8))"),7.81)</f>
        <v>7.81</v>
      </c>
      <c r="P8" s="7">
        <f t="shared" si="2"/>
        <v>0.739</v>
      </c>
      <c r="R8" s="11"/>
      <c r="S8" s="11"/>
    </row>
    <row r="9" ht="22.5" customHeight="1">
      <c r="A9" s="28" t="s">
        <v>526</v>
      </c>
      <c r="B9" s="8" t="s">
        <v>19</v>
      </c>
      <c r="C9" s="9" t="s">
        <v>38</v>
      </c>
      <c r="D9" s="8" t="s">
        <v>39</v>
      </c>
      <c r="E9" s="7">
        <v>39.0</v>
      </c>
      <c r="F9" s="7">
        <v>15.0</v>
      </c>
      <c r="G9" s="9">
        <v>37.0</v>
      </c>
      <c r="H9" s="31">
        <v>18.0</v>
      </c>
      <c r="I9" s="31">
        <v>3.606</v>
      </c>
      <c r="J9" s="31" t="s">
        <v>527</v>
      </c>
      <c r="K9" s="11" t="str">
        <f t="shared" si="1"/>
        <v>Floor 5|1_pano</v>
      </c>
      <c r="M9" s="15" t="s">
        <v>44</v>
      </c>
      <c r="N9" s="32">
        <f>IFERROR(__xludf.DUMMYFUNCTION("MIN(FILTER($I$2:$I109,$K$2:$K109=M9))"),12.207)</f>
        <v>12.207</v>
      </c>
      <c r="O9" s="32">
        <f>IFERROR(__xludf.DUMMYFUNCTION("MAX(FILTER($I$2:$I109,$K$2:$K109=M9))"),12.207)</f>
        <v>12.207</v>
      </c>
      <c r="P9" s="7">
        <f t="shared" si="2"/>
        <v>0</v>
      </c>
      <c r="R9" s="11"/>
      <c r="S9" s="11"/>
    </row>
    <row r="10" ht="22.5" customHeight="1">
      <c r="A10" s="28" t="s">
        <v>528</v>
      </c>
      <c r="B10" s="8" t="s">
        <v>19</v>
      </c>
      <c r="C10" s="9" t="s">
        <v>38</v>
      </c>
      <c r="D10" s="8" t="s">
        <v>39</v>
      </c>
      <c r="E10" s="7">
        <v>39.0</v>
      </c>
      <c r="F10" s="7">
        <v>15.0</v>
      </c>
      <c r="G10" s="9">
        <v>36.0</v>
      </c>
      <c r="H10" s="31">
        <v>18.0</v>
      </c>
      <c r="I10" s="31">
        <v>4.243</v>
      </c>
      <c r="J10" s="31" t="s">
        <v>529</v>
      </c>
      <c r="K10" s="11" t="str">
        <f t="shared" si="1"/>
        <v>Floor 5|1_pano</v>
      </c>
      <c r="M10" s="15" t="s">
        <v>47</v>
      </c>
      <c r="N10" s="32">
        <f>IFERROR(__xludf.DUMMYFUNCTION("MIN(FILTER($I$2:$I109,$K$2:$K109=M10))"),12.207)</f>
        <v>12.207</v>
      </c>
      <c r="O10" s="32">
        <f>IFERROR(__xludf.DUMMYFUNCTION("MAX(FILTER($I$2:$I109,$K$2:$K109=M10))"),12.806)</f>
        <v>12.806</v>
      </c>
      <c r="P10" s="7">
        <f t="shared" si="2"/>
        <v>0.599</v>
      </c>
      <c r="R10" s="11"/>
      <c r="S10" s="11"/>
    </row>
    <row r="11" ht="22.5" customHeight="1">
      <c r="A11" s="28" t="s">
        <v>530</v>
      </c>
      <c r="B11" s="8" t="s">
        <v>19</v>
      </c>
      <c r="C11" s="9">
        <v>2.1</v>
      </c>
      <c r="D11" s="8" t="s">
        <v>20</v>
      </c>
      <c r="E11" s="7">
        <v>44.0</v>
      </c>
      <c r="F11" s="7">
        <v>16.0</v>
      </c>
      <c r="G11" s="9">
        <v>44.0</v>
      </c>
      <c r="H11" s="31">
        <v>17.0</v>
      </c>
      <c r="I11" s="31">
        <v>1.0</v>
      </c>
      <c r="J11" s="31" t="s">
        <v>531</v>
      </c>
      <c r="K11" s="11" t="str">
        <f t="shared" si="1"/>
        <v>Floor 5|2.1</v>
      </c>
      <c r="M11" s="15" t="s">
        <v>50</v>
      </c>
      <c r="N11" s="32">
        <f>IFERROR(__xludf.DUMMYFUNCTION("MIN(FILTER($I$2:$I109,$K$2:$K109=M11))"),9.899)</f>
        <v>9.899</v>
      </c>
      <c r="O11" s="32">
        <f>IFERROR(__xludf.DUMMYFUNCTION("MAX(FILTER($I$2:$I109,$K$2:$K109=M11))"),10.63)</f>
        <v>10.63</v>
      </c>
      <c r="P11" s="7">
        <f t="shared" si="2"/>
        <v>0.731</v>
      </c>
      <c r="R11" s="11"/>
      <c r="S11" s="11"/>
    </row>
    <row r="12" ht="22.5" customHeight="1">
      <c r="A12" s="28" t="s">
        <v>532</v>
      </c>
      <c r="B12" s="8" t="s">
        <v>19</v>
      </c>
      <c r="C12" s="9">
        <v>2.1</v>
      </c>
      <c r="D12" s="8" t="s">
        <v>20</v>
      </c>
      <c r="E12" s="7">
        <v>44.0</v>
      </c>
      <c r="F12" s="7">
        <v>16.0</v>
      </c>
      <c r="G12" s="9">
        <v>44.0</v>
      </c>
      <c r="H12" s="31">
        <v>19.0</v>
      </c>
      <c r="I12" s="31">
        <v>3.0</v>
      </c>
      <c r="J12" s="31" t="s">
        <v>533</v>
      </c>
      <c r="K12" s="11" t="str">
        <f t="shared" si="1"/>
        <v>Floor 5|2.1</v>
      </c>
      <c r="M12" s="15" t="s">
        <v>53</v>
      </c>
      <c r="N12" s="32">
        <f>IFERROR(__xludf.DUMMYFUNCTION("MIN(FILTER($I$2:$I109,$K$2:$K109=M12))"),19.723)</f>
        <v>19.723</v>
      </c>
      <c r="O12" s="32">
        <f>IFERROR(__xludf.DUMMYFUNCTION("MAX(FILTER($I$2:$I109,$K$2:$K109=M12))"),19.723)</f>
        <v>19.723</v>
      </c>
      <c r="P12" s="7">
        <f t="shared" si="2"/>
        <v>0</v>
      </c>
      <c r="R12" s="11"/>
      <c r="S12" s="11"/>
    </row>
    <row r="13" ht="22.5" customHeight="1">
      <c r="A13" s="28" t="s">
        <v>534</v>
      </c>
      <c r="B13" s="8" t="s">
        <v>19</v>
      </c>
      <c r="C13" s="9">
        <v>2.1</v>
      </c>
      <c r="D13" s="8" t="s">
        <v>20</v>
      </c>
      <c r="E13" s="7">
        <v>44.0</v>
      </c>
      <c r="F13" s="7">
        <v>16.0</v>
      </c>
      <c r="G13" s="9">
        <v>45.0</v>
      </c>
      <c r="H13" s="31">
        <v>16.0</v>
      </c>
      <c r="I13" s="31">
        <v>1.0</v>
      </c>
      <c r="J13" s="31" t="s">
        <v>535</v>
      </c>
      <c r="K13" s="11" t="str">
        <f t="shared" si="1"/>
        <v>Floor 5|2.1</v>
      </c>
      <c r="M13" s="15" t="s">
        <v>56</v>
      </c>
      <c r="N13" s="32">
        <f>IFERROR(__xludf.DUMMYFUNCTION("MIN(FILTER($I$2:$I109,$K$2:$K109=M13))"),19.723)</f>
        <v>19.723</v>
      </c>
      <c r="O13" s="32">
        <f>IFERROR(__xludf.DUMMYFUNCTION("MAX(FILTER($I$2:$I109,$K$2:$K109=M13))"),19.723)</f>
        <v>19.723</v>
      </c>
      <c r="P13" s="7">
        <f t="shared" si="2"/>
        <v>0</v>
      </c>
      <c r="R13" s="11"/>
      <c r="S13" s="11"/>
    </row>
    <row r="14" ht="22.5" customHeight="1">
      <c r="A14" s="28" t="s">
        <v>536</v>
      </c>
      <c r="B14" s="8" t="s">
        <v>19</v>
      </c>
      <c r="C14" s="9">
        <v>2.2</v>
      </c>
      <c r="D14" s="8" t="s">
        <v>20</v>
      </c>
      <c r="E14" s="7">
        <v>44.0</v>
      </c>
      <c r="F14" s="7">
        <v>16.0</v>
      </c>
      <c r="G14" s="9">
        <v>44.0</v>
      </c>
      <c r="H14" s="31">
        <v>16.0</v>
      </c>
      <c r="I14" s="31">
        <v>0.0</v>
      </c>
      <c r="J14" s="31" t="s">
        <v>537</v>
      </c>
      <c r="K14" s="11" t="str">
        <f t="shared" si="1"/>
        <v>Floor 5|2.2</v>
      </c>
      <c r="M14" s="15" t="s">
        <v>59</v>
      </c>
      <c r="N14" s="32">
        <f>IFERROR(__xludf.DUMMYFUNCTION("MIN(FILTER($I$2:$I109,$K$2:$K109=M14))"),1.0)</f>
        <v>1</v>
      </c>
      <c r="O14" s="32">
        <f>IFERROR(__xludf.DUMMYFUNCTION("MAX(FILTER($I$2:$I109,$K$2:$K109=M14))"),2.828)</f>
        <v>2.828</v>
      </c>
      <c r="P14" s="7">
        <f t="shared" si="2"/>
        <v>1.828</v>
      </c>
      <c r="R14" s="11"/>
      <c r="S14" s="11"/>
    </row>
    <row r="15" ht="22.5" customHeight="1">
      <c r="A15" s="28" t="s">
        <v>538</v>
      </c>
      <c r="B15" s="8" t="s">
        <v>19</v>
      </c>
      <c r="C15" s="9">
        <v>2.2</v>
      </c>
      <c r="D15" s="8" t="s">
        <v>20</v>
      </c>
      <c r="E15" s="7">
        <v>44.0</v>
      </c>
      <c r="F15" s="7">
        <v>16.0</v>
      </c>
      <c r="G15" s="9">
        <v>43.0</v>
      </c>
      <c r="H15" s="31">
        <v>16.0</v>
      </c>
      <c r="I15" s="31">
        <v>1.0</v>
      </c>
      <c r="J15" s="31" t="s">
        <v>539</v>
      </c>
      <c r="K15" s="11" t="str">
        <f t="shared" si="1"/>
        <v>Floor 5|2.2</v>
      </c>
      <c r="M15" s="15" t="s">
        <v>62</v>
      </c>
      <c r="N15" s="32">
        <f>IFERROR(__xludf.DUMMYFUNCTION("MIN(FILTER($I$2:$I109,$K$2:$K109=M15))"),2.0)</f>
        <v>2</v>
      </c>
      <c r="O15" s="32">
        <f>IFERROR(__xludf.DUMMYFUNCTION("MAX(FILTER($I$2:$I109,$K$2:$K109=M15))"),2.236)</f>
        <v>2.236</v>
      </c>
      <c r="P15" s="7">
        <f t="shared" si="2"/>
        <v>0.236</v>
      </c>
      <c r="R15" s="11"/>
      <c r="S15" s="11"/>
    </row>
    <row r="16" ht="22.5" customHeight="1">
      <c r="A16" s="28" t="s">
        <v>540</v>
      </c>
      <c r="B16" s="8" t="s">
        <v>19</v>
      </c>
      <c r="C16" s="9">
        <v>2.2</v>
      </c>
      <c r="D16" s="8" t="s">
        <v>20</v>
      </c>
      <c r="E16" s="7">
        <v>44.0</v>
      </c>
      <c r="F16" s="7">
        <v>16.0</v>
      </c>
      <c r="G16" s="9">
        <v>44.0</v>
      </c>
      <c r="H16" s="31">
        <v>16.0</v>
      </c>
      <c r="I16" s="31">
        <v>0.0</v>
      </c>
      <c r="J16" s="31" t="s">
        <v>541</v>
      </c>
      <c r="K16" s="11" t="str">
        <f t="shared" si="1"/>
        <v>Floor 5|2.2</v>
      </c>
      <c r="M16" s="15" t="s">
        <v>65</v>
      </c>
      <c r="N16" s="32">
        <f>IFERROR(__xludf.DUMMYFUNCTION("MIN(FILTER($I$2:$I109,$K$2:$K109=M16))"),2.236)</f>
        <v>2.236</v>
      </c>
      <c r="O16" s="32">
        <f>IFERROR(__xludf.DUMMYFUNCTION("MAX(FILTER($I$2:$I109,$K$2:$K109=M16))"),2.828)</f>
        <v>2.828</v>
      </c>
      <c r="P16" s="7">
        <f t="shared" si="2"/>
        <v>0.592</v>
      </c>
      <c r="R16" s="11"/>
      <c r="S16" s="11"/>
    </row>
    <row r="17" ht="22.5" customHeight="1">
      <c r="A17" s="28" t="s">
        <v>542</v>
      </c>
      <c r="B17" s="8" t="s">
        <v>19</v>
      </c>
      <c r="C17" s="9" t="s">
        <v>67</v>
      </c>
      <c r="D17" s="8" t="s">
        <v>39</v>
      </c>
      <c r="E17" s="7">
        <v>44.0</v>
      </c>
      <c r="F17" s="7">
        <v>16.0</v>
      </c>
      <c r="G17" s="9">
        <v>44.0</v>
      </c>
      <c r="H17" s="31">
        <v>17.0</v>
      </c>
      <c r="I17" s="31">
        <v>1.0</v>
      </c>
      <c r="J17" s="31" t="s">
        <v>543</v>
      </c>
      <c r="K17" s="11" t="str">
        <f t="shared" si="1"/>
        <v>Floor 5|2.pano</v>
      </c>
      <c r="M17" s="15" t="s">
        <v>69</v>
      </c>
      <c r="N17" s="32">
        <f>IFERROR(__xludf.DUMMYFUNCTION("MIN(FILTER($I$2:$I109,$K$2:$K109=M17))"),5.657)</f>
        <v>5.657</v>
      </c>
      <c r="O17" s="32">
        <f>IFERROR(__xludf.DUMMYFUNCTION("MAX(FILTER($I$2:$I109,$K$2:$K109=M17))"),6.403)</f>
        <v>6.403</v>
      </c>
      <c r="P17" s="7">
        <f t="shared" si="2"/>
        <v>0.746</v>
      </c>
      <c r="R17" s="11"/>
      <c r="S17" s="11"/>
    </row>
    <row r="18" ht="22.5" customHeight="1">
      <c r="A18" s="28" t="s">
        <v>544</v>
      </c>
      <c r="B18" s="8" t="s">
        <v>19</v>
      </c>
      <c r="C18" s="9" t="s">
        <v>67</v>
      </c>
      <c r="D18" s="8" t="s">
        <v>39</v>
      </c>
      <c r="E18" s="7">
        <v>44.0</v>
      </c>
      <c r="F18" s="7">
        <v>16.0</v>
      </c>
      <c r="G18" s="9">
        <v>44.0</v>
      </c>
      <c r="H18" s="31">
        <v>17.0</v>
      </c>
      <c r="I18" s="31">
        <v>1.0</v>
      </c>
      <c r="J18" s="31" t="s">
        <v>545</v>
      </c>
      <c r="K18" s="11" t="str">
        <f t="shared" si="1"/>
        <v>Floor 5|2.pano</v>
      </c>
      <c r="M18" s="15" t="s">
        <v>72</v>
      </c>
      <c r="N18" s="32">
        <f>IFERROR(__xludf.DUMMYFUNCTION("MIN(FILTER($I$2:$I109,$K$2:$K109=M18))"),5.0)</f>
        <v>5</v>
      </c>
      <c r="O18" s="32">
        <f>IFERROR(__xludf.DUMMYFUNCTION("MAX(FILTER($I$2:$I109,$K$2:$K109=M18))"),6.403)</f>
        <v>6.403</v>
      </c>
      <c r="P18" s="7">
        <f t="shared" si="2"/>
        <v>1.403</v>
      </c>
      <c r="R18" s="11"/>
      <c r="S18" s="11"/>
    </row>
    <row r="19" ht="22.5" customHeight="1">
      <c r="A19" s="28" t="s">
        <v>546</v>
      </c>
      <c r="B19" s="8" t="s">
        <v>19</v>
      </c>
      <c r="C19" s="9" t="s">
        <v>67</v>
      </c>
      <c r="D19" s="8" t="s">
        <v>39</v>
      </c>
      <c r="E19" s="7">
        <v>44.0</v>
      </c>
      <c r="F19" s="7">
        <v>16.0</v>
      </c>
      <c r="G19" s="9">
        <v>45.0</v>
      </c>
      <c r="H19" s="31">
        <v>17.0</v>
      </c>
      <c r="I19" s="31">
        <v>1.414</v>
      </c>
      <c r="J19" s="31" t="s">
        <v>547</v>
      </c>
      <c r="K19" s="11" t="str">
        <f t="shared" si="1"/>
        <v>Floor 5|2.pano</v>
      </c>
      <c r="M19" s="15" t="s">
        <v>75</v>
      </c>
      <c r="N19" s="32">
        <f>IFERROR(__xludf.DUMMYFUNCTION("MIN(FILTER($I$2:$I109,$K$2:$K109=M19))"),5.0)</f>
        <v>5</v>
      </c>
      <c r="O19" s="32">
        <f>IFERROR(__xludf.DUMMYFUNCTION("MAX(FILTER($I$2:$I109,$K$2:$K109=M19))"),6.403)</f>
        <v>6.403</v>
      </c>
      <c r="P19" s="7">
        <f t="shared" si="2"/>
        <v>1.403</v>
      </c>
      <c r="R19" s="11"/>
      <c r="S19" s="11"/>
    </row>
    <row r="20" ht="22.5" customHeight="1">
      <c r="A20" s="28" t="s">
        <v>548</v>
      </c>
      <c r="B20" s="8" t="s">
        <v>19</v>
      </c>
      <c r="C20" s="9">
        <v>3.1</v>
      </c>
      <c r="D20" s="8" t="s">
        <v>20</v>
      </c>
      <c r="E20" s="7">
        <v>39.0</v>
      </c>
      <c r="F20" s="7">
        <v>22.0</v>
      </c>
      <c r="G20" s="9">
        <v>44.0</v>
      </c>
      <c r="H20" s="31">
        <v>17.0</v>
      </c>
      <c r="I20" s="31">
        <v>7.071</v>
      </c>
      <c r="J20" s="31" t="s">
        <v>549</v>
      </c>
      <c r="K20" s="11" t="str">
        <f t="shared" si="1"/>
        <v>Floor 5|3.1</v>
      </c>
      <c r="M20" s="15" t="s">
        <v>78</v>
      </c>
      <c r="N20" s="32">
        <f>IFERROR(__xludf.DUMMYFUNCTION("MIN(FILTER($I$2:$I109,$K$2:$K109=M20))"),29.0)</f>
        <v>29</v>
      </c>
      <c r="O20" s="32">
        <f>IFERROR(__xludf.DUMMYFUNCTION("MAX(FILTER($I$2:$I109,$K$2:$K109=M20))"),31.145)</f>
        <v>31.145</v>
      </c>
      <c r="P20" s="7">
        <f t="shared" si="2"/>
        <v>2.145</v>
      </c>
      <c r="R20" s="11"/>
      <c r="S20" s="11"/>
    </row>
    <row r="21" ht="22.5" customHeight="1">
      <c r="A21" s="28" t="s">
        <v>550</v>
      </c>
      <c r="B21" s="8" t="s">
        <v>19</v>
      </c>
      <c r="C21" s="9">
        <v>3.1</v>
      </c>
      <c r="D21" s="8" t="s">
        <v>20</v>
      </c>
      <c r="E21" s="7">
        <v>39.0</v>
      </c>
      <c r="F21" s="7">
        <v>22.0</v>
      </c>
      <c r="G21" s="9">
        <v>44.0</v>
      </c>
      <c r="H21" s="31">
        <v>17.0</v>
      </c>
      <c r="I21" s="31">
        <v>7.071</v>
      </c>
      <c r="J21" s="31" t="s">
        <v>551</v>
      </c>
      <c r="K21" s="11" t="str">
        <f t="shared" si="1"/>
        <v>Floor 5|3.1</v>
      </c>
      <c r="M21" s="15" t="s">
        <v>81</v>
      </c>
      <c r="N21" s="32">
        <f>IFERROR(__xludf.DUMMYFUNCTION("MIN(FILTER($I$2:$I109,$K$2:$K109=M21))"),29.017)</f>
        <v>29.017</v>
      </c>
      <c r="O21" s="32">
        <f>IFERROR(__xludf.DUMMYFUNCTION("MAX(FILTER($I$2:$I109,$K$2:$K109=M21))"),31.78)</f>
        <v>31.78</v>
      </c>
      <c r="P21" s="7">
        <f t="shared" si="2"/>
        <v>2.763</v>
      </c>
      <c r="R21" s="11"/>
      <c r="S21" s="11"/>
    </row>
    <row r="22" ht="22.5" customHeight="1">
      <c r="A22" s="28" t="s">
        <v>552</v>
      </c>
      <c r="B22" s="8" t="s">
        <v>19</v>
      </c>
      <c r="C22" s="9">
        <v>3.1</v>
      </c>
      <c r="D22" s="8" t="s">
        <v>20</v>
      </c>
      <c r="E22" s="7">
        <v>39.0</v>
      </c>
      <c r="F22" s="7">
        <v>22.0</v>
      </c>
      <c r="G22" s="9">
        <v>44.0</v>
      </c>
      <c r="H22" s="31">
        <v>16.0</v>
      </c>
      <c r="I22" s="31">
        <v>7.81</v>
      </c>
      <c r="J22" s="31" t="s">
        <v>553</v>
      </c>
      <c r="K22" s="11" t="str">
        <f t="shared" si="1"/>
        <v>Floor 5|3.1</v>
      </c>
      <c r="M22" s="15" t="s">
        <v>84</v>
      </c>
      <c r="N22" s="32">
        <f>IFERROR(__xludf.DUMMYFUNCTION("MIN(FILTER($I$2:$I109,$K$2:$K109=M22))"),19.925)</f>
        <v>19.925</v>
      </c>
      <c r="O22" s="32">
        <f>IFERROR(__xludf.DUMMYFUNCTION("MAX(FILTER($I$2:$I109,$K$2:$K109=M22))"),26.0)</f>
        <v>26</v>
      </c>
      <c r="P22" s="7">
        <f t="shared" si="2"/>
        <v>6.075</v>
      </c>
      <c r="R22" s="11"/>
      <c r="S22" s="11"/>
    </row>
    <row r="23" ht="22.5" customHeight="1">
      <c r="A23" s="28" t="s">
        <v>554</v>
      </c>
      <c r="B23" s="8" t="s">
        <v>19</v>
      </c>
      <c r="C23" s="9">
        <v>3.2</v>
      </c>
      <c r="D23" s="8" t="s">
        <v>20</v>
      </c>
      <c r="E23" s="7">
        <v>39.0</v>
      </c>
      <c r="F23" s="7">
        <v>22.0</v>
      </c>
      <c r="G23" s="9">
        <v>32.0</v>
      </c>
      <c r="H23" s="31">
        <v>12.0</v>
      </c>
      <c r="I23" s="31">
        <v>12.207</v>
      </c>
      <c r="J23" s="31" t="s">
        <v>555</v>
      </c>
      <c r="K23" s="11" t="str">
        <f t="shared" si="1"/>
        <v>Floor 5|3.2</v>
      </c>
      <c r="M23" s="15" t="s">
        <v>87</v>
      </c>
      <c r="N23" s="32">
        <f>IFERROR(__xludf.DUMMYFUNCTION("MIN(FILTER($I$2:$I109,$K$2:$K109=M23))"),1.0)</f>
        <v>1</v>
      </c>
      <c r="O23" s="32">
        <f>IFERROR(__xludf.DUMMYFUNCTION("MAX(FILTER($I$2:$I109,$K$2:$K109=M23))"),5.385)</f>
        <v>5.385</v>
      </c>
      <c r="P23" s="7">
        <f t="shared" si="2"/>
        <v>4.385</v>
      </c>
      <c r="R23" s="11"/>
      <c r="S23" s="11"/>
    </row>
    <row r="24" ht="22.5" customHeight="1">
      <c r="A24" s="28" t="s">
        <v>556</v>
      </c>
      <c r="B24" s="8" t="s">
        <v>19</v>
      </c>
      <c r="C24" s="9">
        <v>3.2</v>
      </c>
      <c r="D24" s="8" t="s">
        <v>20</v>
      </c>
      <c r="E24" s="7">
        <v>39.0</v>
      </c>
      <c r="F24" s="7">
        <v>22.0</v>
      </c>
      <c r="G24" s="9">
        <v>32.0</v>
      </c>
      <c r="H24" s="31">
        <v>12.0</v>
      </c>
      <c r="I24" s="31">
        <v>12.207</v>
      </c>
      <c r="J24" s="31" t="s">
        <v>557</v>
      </c>
      <c r="K24" s="11" t="str">
        <f t="shared" si="1"/>
        <v>Floor 5|3.2</v>
      </c>
      <c r="M24" s="15" t="s">
        <v>90</v>
      </c>
      <c r="N24" s="32">
        <f>IFERROR(__xludf.DUMMYFUNCTION("MIN(FILTER($I$2:$I109,$K$2:$K109=M24))"),4.123)</f>
        <v>4.123</v>
      </c>
      <c r="O24" s="32">
        <f>IFERROR(__xludf.DUMMYFUNCTION("MAX(FILTER($I$2:$I109,$K$2:$K109=M24))"),6.403)</f>
        <v>6.403</v>
      </c>
      <c r="P24" s="7">
        <f t="shared" si="2"/>
        <v>2.28</v>
      </c>
      <c r="R24" s="11"/>
      <c r="S24" s="11"/>
    </row>
    <row r="25" ht="22.5" customHeight="1">
      <c r="A25" s="28" t="s">
        <v>558</v>
      </c>
      <c r="B25" s="8" t="s">
        <v>19</v>
      </c>
      <c r="C25" s="9">
        <v>3.2</v>
      </c>
      <c r="D25" s="8" t="s">
        <v>20</v>
      </c>
      <c r="E25" s="7">
        <v>39.0</v>
      </c>
      <c r="F25" s="7">
        <v>22.0</v>
      </c>
      <c r="G25" s="9">
        <v>32.0</v>
      </c>
      <c r="H25" s="31">
        <v>12.0</v>
      </c>
      <c r="I25" s="31">
        <v>12.207</v>
      </c>
      <c r="J25" s="31" t="s">
        <v>559</v>
      </c>
      <c r="K25" s="11" t="str">
        <f t="shared" si="1"/>
        <v>Floor 5|3.2</v>
      </c>
      <c r="M25" s="15" t="s">
        <v>93</v>
      </c>
      <c r="N25" s="32">
        <f>IFERROR(__xludf.DUMMYFUNCTION("MIN(FILTER($I$2:$I109,$K$2:$K109=M25))"),3.162)</f>
        <v>3.162</v>
      </c>
      <c r="O25" s="32">
        <f>IFERROR(__xludf.DUMMYFUNCTION("MAX(FILTER($I$2:$I109,$K$2:$K109=M25))"),4.472)</f>
        <v>4.472</v>
      </c>
      <c r="P25" s="7">
        <f t="shared" si="2"/>
        <v>1.31</v>
      </c>
      <c r="R25" s="11"/>
      <c r="S25" s="11"/>
    </row>
    <row r="26" ht="22.5" customHeight="1">
      <c r="A26" s="28" t="s">
        <v>560</v>
      </c>
      <c r="B26" s="8" t="s">
        <v>19</v>
      </c>
      <c r="C26" s="9" t="s">
        <v>95</v>
      </c>
      <c r="D26" s="8" t="s">
        <v>39</v>
      </c>
      <c r="E26" s="7">
        <v>39.0</v>
      </c>
      <c r="F26" s="7">
        <v>22.0</v>
      </c>
      <c r="G26" s="9">
        <v>32.0</v>
      </c>
      <c r="H26" s="31">
        <v>12.0</v>
      </c>
      <c r="I26" s="31">
        <v>12.207</v>
      </c>
      <c r="J26" s="31" t="s">
        <v>561</v>
      </c>
      <c r="K26" s="11" t="str">
        <f t="shared" si="1"/>
        <v>Floor 5|3_pano</v>
      </c>
      <c r="M26" s="15" t="s">
        <v>97</v>
      </c>
      <c r="N26" s="32">
        <f>IFERROR(__xludf.DUMMYFUNCTION("MIN(FILTER($I$2:$I109,$K$2:$K109=M26))"),6.403)</f>
        <v>6.403</v>
      </c>
      <c r="O26" s="32">
        <f>IFERROR(__xludf.DUMMYFUNCTION("MAX(FILTER($I$2:$I109,$K$2:$K109=M26))"),7.616)</f>
        <v>7.616</v>
      </c>
      <c r="P26" s="7">
        <f t="shared" si="2"/>
        <v>1.213</v>
      </c>
      <c r="R26" s="11"/>
      <c r="S26" s="11"/>
    </row>
    <row r="27" ht="22.5" customHeight="1">
      <c r="A27" s="28" t="s">
        <v>562</v>
      </c>
      <c r="B27" s="8" t="s">
        <v>19</v>
      </c>
      <c r="C27" s="9" t="s">
        <v>95</v>
      </c>
      <c r="D27" s="8" t="s">
        <v>39</v>
      </c>
      <c r="E27" s="7">
        <v>39.0</v>
      </c>
      <c r="F27" s="7">
        <v>22.0</v>
      </c>
      <c r="G27" s="9">
        <v>31.0</v>
      </c>
      <c r="H27" s="31">
        <v>12.0</v>
      </c>
      <c r="I27" s="31">
        <v>12.806</v>
      </c>
      <c r="J27" s="31" t="s">
        <v>563</v>
      </c>
      <c r="K27" s="11" t="str">
        <f t="shared" si="1"/>
        <v>Floor 5|3_pano</v>
      </c>
      <c r="M27" s="15" t="s">
        <v>100</v>
      </c>
      <c r="N27" s="32">
        <f>IFERROR(__xludf.DUMMYFUNCTION("MIN(FILTER($I$2:$I109,$K$2:$K109=M27))"),5.831)</f>
        <v>5.831</v>
      </c>
      <c r="O27" s="32">
        <f>IFERROR(__xludf.DUMMYFUNCTION("MAX(FILTER($I$2:$I109,$K$2:$K109=M27))"),6.708)</f>
        <v>6.708</v>
      </c>
      <c r="P27" s="7">
        <f t="shared" si="2"/>
        <v>0.877</v>
      </c>
      <c r="R27" s="11"/>
      <c r="S27" s="11"/>
    </row>
    <row r="28" ht="22.5" customHeight="1">
      <c r="A28" s="28" t="s">
        <v>564</v>
      </c>
      <c r="B28" s="8" t="s">
        <v>19</v>
      </c>
      <c r="C28" s="9" t="s">
        <v>95</v>
      </c>
      <c r="D28" s="8" t="s">
        <v>39</v>
      </c>
      <c r="E28" s="7">
        <v>39.0</v>
      </c>
      <c r="F28" s="7">
        <v>22.0</v>
      </c>
      <c r="G28" s="9">
        <v>31.0</v>
      </c>
      <c r="H28" s="31">
        <v>12.0</v>
      </c>
      <c r="I28" s="31">
        <v>12.806</v>
      </c>
      <c r="J28" s="31" t="s">
        <v>565</v>
      </c>
      <c r="K28" s="11" t="str">
        <f t="shared" si="1"/>
        <v>Floor 5|3_pano</v>
      </c>
      <c r="M28" s="15" t="s">
        <v>103</v>
      </c>
      <c r="N28" s="32">
        <f>IFERROR(__xludf.DUMMYFUNCTION("MIN(FILTER($I$2:$I109,$K$2:$K109=M28))"),5.831)</f>
        <v>5.831</v>
      </c>
      <c r="O28" s="32">
        <f>IFERROR(__xludf.DUMMYFUNCTION("MAX(FILTER($I$2:$I109,$K$2:$K109=M28))"),7.211)</f>
        <v>7.211</v>
      </c>
      <c r="P28" s="7">
        <f t="shared" si="2"/>
        <v>1.38</v>
      </c>
      <c r="R28" s="11"/>
      <c r="S28" s="11"/>
    </row>
    <row r="29" ht="22.5" customHeight="1">
      <c r="A29" s="28" t="s">
        <v>566</v>
      </c>
      <c r="B29" s="8" t="s">
        <v>19</v>
      </c>
      <c r="C29" s="9">
        <v>4.1</v>
      </c>
      <c r="D29" s="8" t="s">
        <v>20</v>
      </c>
      <c r="E29" s="7">
        <v>42.0</v>
      </c>
      <c r="F29" s="7">
        <v>29.0</v>
      </c>
      <c r="G29" s="9">
        <v>35.0</v>
      </c>
      <c r="H29" s="31">
        <v>21.0</v>
      </c>
      <c r="I29" s="31">
        <v>10.63</v>
      </c>
      <c r="J29" s="31" t="s">
        <v>567</v>
      </c>
      <c r="K29" s="11" t="str">
        <f t="shared" si="1"/>
        <v>Floor 5|4.1</v>
      </c>
      <c r="M29" s="15" t="s">
        <v>106</v>
      </c>
      <c r="N29" s="32">
        <f>IFERROR(__xludf.DUMMYFUNCTION("MIN(FILTER($I$2:$I109,$K$2:$K109=M29))"),17.205)</f>
        <v>17.205</v>
      </c>
      <c r="O29" s="32">
        <f>IFERROR(__xludf.DUMMYFUNCTION("MAX(FILTER($I$2:$I109,$K$2:$K109=M29))"),19.849)</f>
        <v>19.849</v>
      </c>
      <c r="P29" s="7">
        <f t="shared" si="2"/>
        <v>2.644</v>
      </c>
      <c r="R29" s="11"/>
      <c r="S29" s="11"/>
    </row>
    <row r="30" ht="22.5" customHeight="1">
      <c r="A30" s="28" t="s">
        <v>568</v>
      </c>
      <c r="B30" s="8" t="s">
        <v>19</v>
      </c>
      <c r="C30" s="9">
        <v>4.1</v>
      </c>
      <c r="D30" s="8" t="s">
        <v>20</v>
      </c>
      <c r="E30" s="7">
        <v>42.0</v>
      </c>
      <c r="F30" s="7">
        <v>29.0</v>
      </c>
      <c r="G30" s="9">
        <v>35.0</v>
      </c>
      <c r="H30" s="31">
        <v>22.0</v>
      </c>
      <c r="I30" s="31">
        <v>9.899</v>
      </c>
      <c r="J30" s="31" t="s">
        <v>569</v>
      </c>
      <c r="K30" s="11" t="str">
        <f t="shared" si="1"/>
        <v>Floor 5|4.1</v>
      </c>
      <c r="M30" s="15" t="s">
        <v>109</v>
      </c>
      <c r="N30" s="32">
        <f>IFERROR(__xludf.DUMMYFUNCTION("MIN(FILTER($I$2:$I109,$K$2:$K109=M30))"),9.487)</f>
        <v>9.487</v>
      </c>
      <c r="O30" s="32">
        <f>IFERROR(__xludf.DUMMYFUNCTION("MAX(FILTER($I$2:$I109,$K$2:$K109=M30))"),10.44)</f>
        <v>10.44</v>
      </c>
      <c r="P30" s="7">
        <f t="shared" si="2"/>
        <v>0.953</v>
      </c>
      <c r="R30" s="11"/>
      <c r="S30" s="11"/>
    </row>
    <row r="31" ht="22.5" customHeight="1">
      <c r="A31" s="28" t="s">
        <v>570</v>
      </c>
      <c r="B31" s="8" t="s">
        <v>19</v>
      </c>
      <c r="C31" s="9">
        <v>4.1</v>
      </c>
      <c r="D31" s="8" t="s">
        <v>20</v>
      </c>
      <c r="E31" s="7">
        <v>42.0</v>
      </c>
      <c r="F31" s="7">
        <v>29.0</v>
      </c>
      <c r="G31" s="9">
        <v>35.0</v>
      </c>
      <c r="H31" s="31">
        <v>21.0</v>
      </c>
      <c r="I31" s="31">
        <v>10.63</v>
      </c>
      <c r="J31" s="31" t="s">
        <v>571</v>
      </c>
      <c r="K31" s="11" t="str">
        <f t="shared" si="1"/>
        <v>Floor 5|4.1</v>
      </c>
      <c r="M31" s="15" t="s">
        <v>112</v>
      </c>
      <c r="N31" s="32">
        <f>IFERROR(__xludf.DUMMYFUNCTION("MIN(FILTER($I$2:$I109,$K$2:$K109=M31))"),23.77)</f>
        <v>23.77</v>
      </c>
      <c r="O31" s="32">
        <f>IFERROR(__xludf.DUMMYFUNCTION("MAX(FILTER($I$2:$I109,$K$2:$K109=M31))"),25.71)</f>
        <v>25.71</v>
      </c>
      <c r="P31" s="7">
        <f t="shared" si="2"/>
        <v>1.94</v>
      </c>
      <c r="R31" s="11"/>
      <c r="S31" s="11"/>
    </row>
    <row r="32" ht="22.5" customHeight="1">
      <c r="A32" s="28" t="s">
        <v>572</v>
      </c>
      <c r="B32" s="8" t="s">
        <v>19</v>
      </c>
      <c r="C32" s="9">
        <v>4.2</v>
      </c>
      <c r="D32" s="8" t="s">
        <v>20</v>
      </c>
      <c r="E32" s="7">
        <v>42.0</v>
      </c>
      <c r="F32" s="7">
        <v>29.0</v>
      </c>
      <c r="G32" s="9">
        <v>32.0</v>
      </c>
      <c r="H32" s="31">
        <v>12.0</v>
      </c>
      <c r="I32" s="31">
        <v>19.723</v>
      </c>
      <c r="J32" s="31" t="s">
        <v>573</v>
      </c>
      <c r="K32" s="11" t="str">
        <f t="shared" si="1"/>
        <v>Floor 5|4.2</v>
      </c>
      <c r="M32" s="15" t="s">
        <v>115</v>
      </c>
      <c r="N32" s="32">
        <f>IFERROR(__xludf.DUMMYFUNCTION("MIN(FILTER($I$2:$I109,$K$2:$K109=M32))"),9.849)</f>
        <v>9.849</v>
      </c>
      <c r="O32" s="32">
        <f>IFERROR(__xludf.DUMMYFUNCTION("MAX(FILTER($I$2:$I109,$K$2:$K109=M32))"),13.892)</f>
        <v>13.892</v>
      </c>
      <c r="P32" s="7">
        <f t="shared" si="2"/>
        <v>4.043</v>
      </c>
      <c r="R32" s="11"/>
      <c r="S32" s="11"/>
    </row>
    <row r="33" ht="22.5" customHeight="1">
      <c r="A33" s="28" t="s">
        <v>574</v>
      </c>
      <c r="B33" s="8" t="s">
        <v>19</v>
      </c>
      <c r="C33" s="9">
        <v>4.2</v>
      </c>
      <c r="D33" s="8" t="s">
        <v>20</v>
      </c>
      <c r="E33" s="7">
        <v>42.0</v>
      </c>
      <c r="F33" s="7">
        <v>29.0</v>
      </c>
      <c r="G33" s="9">
        <v>32.0</v>
      </c>
      <c r="H33" s="31">
        <v>12.0</v>
      </c>
      <c r="I33" s="31">
        <v>19.723</v>
      </c>
      <c r="J33" s="31" t="s">
        <v>575</v>
      </c>
      <c r="K33" s="11" t="str">
        <f t="shared" si="1"/>
        <v>Floor 5|4.2</v>
      </c>
      <c r="M33" s="15" t="s">
        <v>118</v>
      </c>
      <c r="N33" s="32">
        <f>IFERROR(__xludf.DUMMYFUNCTION("MIN(FILTER($I$2:$I109,$K$2:$K109=M33))"),4.472)</f>
        <v>4.472</v>
      </c>
      <c r="O33" s="32">
        <f>IFERROR(__xludf.DUMMYFUNCTION("MAX(FILTER($I$2:$I109,$K$2:$K109=M33))"),5.831)</f>
        <v>5.831</v>
      </c>
      <c r="P33" s="7">
        <f t="shared" si="2"/>
        <v>1.359</v>
      </c>
      <c r="R33" s="11"/>
      <c r="S33" s="11"/>
    </row>
    <row r="34" ht="22.5" customHeight="1">
      <c r="A34" s="28" t="s">
        <v>576</v>
      </c>
      <c r="B34" s="8" t="s">
        <v>19</v>
      </c>
      <c r="C34" s="9">
        <v>4.2</v>
      </c>
      <c r="D34" s="8" t="s">
        <v>20</v>
      </c>
      <c r="E34" s="7">
        <v>42.0</v>
      </c>
      <c r="F34" s="7">
        <v>29.0</v>
      </c>
      <c r="G34" s="9">
        <v>32.0</v>
      </c>
      <c r="H34" s="31">
        <v>12.0</v>
      </c>
      <c r="I34" s="31">
        <v>19.723</v>
      </c>
      <c r="J34" s="31" t="s">
        <v>577</v>
      </c>
      <c r="K34" s="11" t="str">
        <f t="shared" si="1"/>
        <v>Floor 5|4.2</v>
      </c>
      <c r="M34" s="15" t="s">
        <v>121</v>
      </c>
      <c r="N34" s="32">
        <f>IFERROR(__xludf.DUMMYFUNCTION("MIN(FILTER($I$2:$I109,$K$2:$K109=M34))"),5.099)</f>
        <v>5.099</v>
      </c>
      <c r="O34" s="32">
        <f>IFERROR(__xludf.DUMMYFUNCTION("MAX(FILTER($I$2:$I109,$K$2:$K109=M34))"),10.44)</f>
        <v>10.44</v>
      </c>
      <c r="P34" s="7">
        <f t="shared" si="2"/>
        <v>5.341</v>
      </c>
      <c r="R34" s="11"/>
      <c r="S34" s="11"/>
    </row>
    <row r="35" ht="22.5" customHeight="1">
      <c r="A35" s="28" t="s">
        <v>578</v>
      </c>
      <c r="B35" s="8" t="s">
        <v>19</v>
      </c>
      <c r="C35" s="9" t="s">
        <v>123</v>
      </c>
      <c r="D35" s="8" t="s">
        <v>39</v>
      </c>
      <c r="E35" s="7">
        <v>42.0</v>
      </c>
      <c r="F35" s="7">
        <v>29.0</v>
      </c>
      <c r="G35" s="9">
        <v>32.0</v>
      </c>
      <c r="H35" s="31">
        <v>12.0</v>
      </c>
      <c r="I35" s="31">
        <v>19.723</v>
      </c>
      <c r="J35" s="31" t="s">
        <v>579</v>
      </c>
      <c r="K35" s="11" t="str">
        <f t="shared" si="1"/>
        <v>Floor 5|4.pano</v>
      </c>
      <c r="M35" s="15" t="s">
        <v>125</v>
      </c>
      <c r="N35" s="32">
        <f>IFERROR(__xludf.DUMMYFUNCTION("MIN(FILTER($I$2:$I109,$K$2:$K109=M35))"),9.487)</f>
        <v>9.487</v>
      </c>
      <c r="O35" s="32">
        <f>IFERROR(__xludf.DUMMYFUNCTION("MAX(FILTER($I$2:$I109,$K$2:$K109=M35))"),10.77)</f>
        <v>10.77</v>
      </c>
      <c r="P35" s="7">
        <f t="shared" si="2"/>
        <v>1.283</v>
      </c>
      <c r="R35" s="11"/>
      <c r="S35" s="11"/>
    </row>
    <row r="36" ht="22.5" customHeight="1">
      <c r="A36" s="28" t="s">
        <v>580</v>
      </c>
      <c r="B36" s="8" t="s">
        <v>19</v>
      </c>
      <c r="C36" s="9" t="s">
        <v>123</v>
      </c>
      <c r="D36" s="8" t="s">
        <v>39</v>
      </c>
      <c r="E36" s="7">
        <v>42.0</v>
      </c>
      <c r="F36" s="7">
        <v>29.0</v>
      </c>
      <c r="G36" s="9">
        <v>32.0</v>
      </c>
      <c r="H36" s="31">
        <v>12.0</v>
      </c>
      <c r="I36" s="31">
        <v>19.723</v>
      </c>
      <c r="J36" s="31" t="s">
        <v>581</v>
      </c>
      <c r="K36" s="11" t="str">
        <f t="shared" si="1"/>
        <v>Floor 5|4.pano</v>
      </c>
      <c r="M36" s="15" t="s">
        <v>128</v>
      </c>
      <c r="N36" s="32">
        <f>IFERROR(__xludf.DUMMYFUNCTION("MIN(FILTER($I$2:$I109,$K$2:$K109=M36))"),10.44)</f>
        <v>10.44</v>
      </c>
      <c r="O36" s="32">
        <f>IFERROR(__xludf.DUMMYFUNCTION("MAX(FILTER($I$2:$I109,$K$2:$K109=M36))"),10.77)</f>
        <v>10.77</v>
      </c>
      <c r="P36" s="7">
        <f t="shared" si="2"/>
        <v>0.33</v>
      </c>
      <c r="R36" s="11"/>
      <c r="S36" s="11"/>
    </row>
    <row r="37" ht="22.5" customHeight="1">
      <c r="A37" s="28" t="s">
        <v>582</v>
      </c>
      <c r="B37" s="8" t="s">
        <v>19</v>
      </c>
      <c r="C37" s="9" t="s">
        <v>123</v>
      </c>
      <c r="D37" s="8" t="s">
        <v>39</v>
      </c>
      <c r="E37" s="7">
        <v>42.0</v>
      </c>
      <c r="F37" s="7">
        <v>29.0</v>
      </c>
      <c r="G37" s="9">
        <v>32.0</v>
      </c>
      <c r="H37" s="31">
        <v>12.0</v>
      </c>
      <c r="I37" s="31">
        <v>19.723</v>
      </c>
      <c r="J37" s="31" t="s">
        <v>583</v>
      </c>
      <c r="K37" s="11" t="str">
        <f t="shared" si="1"/>
        <v>Floor 5|4.pano</v>
      </c>
      <c r="M37" s="15" t="s">
        <v>131</v>
      </c>
      <c r="N37" s="32">
        <f>IFERROR(__xludf.DUMMYFUNCTION("MIN(FILTER($I$2:$I109,$K$2:$K109=M37))"),9.849)</f>
        <v>9.849</v>
      </c>
      <c r="O37" s="32">
        <f>IFERROR(__xludf.DUMMYFUNCTION("MAX(FILTER($I$2:$I109,$K$2:$K109=M37))"),11.18)</f>
        <v>11.18</v>
      </c>
      <c r="P37" s="7">
        <f t="shared" si="2"/>
        <v>1.331</v>
      </c>
      <c r="R37" s="11"/>
      <c r="S37" s="11"/>
    </row>
    <row r="38" ht="22.5" customHeight="1">
      <c r="A38" s="28" t="s">
        <v>584</v>
      </c>
      <c r="B38" s="8" t="s">
        <v>19</v>
      </c>
      <c r="C38" s="9">
        <v>5.1</v>
      </c>
      <c r="D38" s="8" t="s">
        <v>20</v>
      </c>
      <c r="E38" s="7">
        <v>46.0</v>
      </c>
      <c r="F38" s="7">
        <v>30.0</v>
      </c>
      <c r="G38" s="9">
        <v>44.0</v>
      </c>
      <c r="H38" s="31">
        <v>28.0</v>
      </c>
      <c r="I38" s="31">
        <v>2.828</v>
      </c>
      <c r="J38" s="31" t="s">
        <v>585</v>
      </c>
      <c r="K38" s="11" t="str">
        <f t="shared" si="1"/>
        <v>Floor 5|5.1</v>
      </c>
      <c r="N38" s="32"/>
      <c r="O38" s="32"/>
      <c r="P38" s="32"/>
      <c r="R38" s="32"/>
      <c r="S38" s="32"/>
    </row>
    <row r="39" ht="22.5" customHeight="1">
      <c r="A39" s="28" t="s">
        <v>586</v>
      </c>
      <c r="B39" s="8" t="s">
        <v>19</v>
      </c>
      <c r="C39" s="9">
        <v>5.1</v>
      </c>
      <c r="D39" s="8" t="s">
        <v>20</v>
      </c>
      <c r="E39" s="7">
        <v>46.0</v>
      </c>
      <c r="F39" s="7">
        <v>30.0</v>
      </c>
      <c r="G39" s="9">
        <v>44.0</v>
      </c>
      <c r="H39" s="31">
        <v>31.0</v>
      </c>
      <c r="I39" s="31">
        <v>2.236</v>
      </c>
      <c r="J39" s="31" t="s">
        <v>587</v>
      </c>
      <c r="K39" s="11" t="str">
        <f t="shared" si="1"/>
        <v>Floor 5|5.1</v>
      </c>
      <c r="N39" s="32"/>
      <c r="O39" s="32"/>
      <c r="P39" s="32"/>
      <c r="R39" s="32"/>
      <c r="S39" s="32"/>
    </row>
    <row r="40" ht="22.5" customHeight="1">
      <c r="A40" s="28" t="s">
        <v>588</v>
      </c>
      <c r="B40" s="8" t="s">
        <v>19</v>
      </c>
      <c r="C40" s="9">
        <v>5.1</v>
      </c>
      <c r="D40" s="8" t="s">
        <v>20</v>
      </c>
      <c r="E40" s="7">
        <v>46.0</v>
      </c>
      <c r="F40" s="7">
        <v>30.0</v>
      </c>
      <c r="G40" s="9">
        <v>45.0</v>
      </c>
      <c r="H40" s="31">
        <v>30.0</v>
      </c>
      <c r="I40" s="31">
        <v>1.0</v>
      </c>
      <c r="J40" s="31" t="s">
        <v>589</v>
      </c>
      <c r="K40" s="11" t="str">
        <f t="shared" si="1"/>
        <v>Floor 5|5.1</v>
      </c>
      <c r="N40" s="32"/>
      <c r="O40" s="32"/>
      <c r="P40" s="32"/>
      <c r="R40" s="32"/>
      <c r="S40" s="32"/>
    </row>
    <row r="41" ht="22.5" customHeight="1">
      <c r="A41" s="28" t="s">
        <v>590</v>
      </c>
      <c r="B41" s="8" t="s">
        <v>19</v>
      </c>
      <c r="C41" s="9">
        <v>5.2</v>
      </c>
      <c r="D41" s="8" t="s">
        <v>20</v>
      </c>
      <c r="E41" s="7">
        <v>46.0</v>
      </c>
      <c r="F41" s="7">
        <v>30.0</v>
      </c>
      <c r="G41" s="9">
        <v>48.0</v>
      </c>
      <c r="H41" s="31">
        <v>31.0</v>
      </c>
      <c r="I41" s="31">
        <v>2.236</v>
      </c>
      <c r="J41" s="31" t="s">
        <v>591</v>
      </c>
      <c r="K41" s="11" t="str">
        <f t="shared" si="1"/>
        <v>Floor 5|5.2</v>
      </c>
      <c r="N41" s="32"/>
      <c r="O41" s="32"/>
      <c r="P41" s="32"/>
      <c r="R41" s="32"/>
      <c r="S41" s="32"/>
    </row>
    <row r="42" ht="22.5" customHeight="1">
      <c r="A42" s="28" t="s">
        <v>592</v>
      </c>
      <c r="B42" s="8" t="s">
        <v>19</v>
      </c>
      <c r="C42" s="9">
        <v>5.2</v>
      </c>
      <c r="D42" s="8" t="s">
        <v>20</v>
      </c>
      <c r="E42" s="7">
        <v>46.0</v>
      </c>
      <c r="F42" s="7">
        <v>30.0</v>
      </c>
      <c r="G42" s="9">
        <v>48.0</v>
      </c>
      <c r="H42" s="31">
        <v>30.0</v>
      </c>
      <c r="I42" s="31">
        <v>2.0</v>
      </c>
      <c r="J42" s="31" t="s">
        <v>593</v>
      </c>
      <c r="K42" s="11" t="str">
        <f t="shared" si="1"/>
        <v>Floor 5|5.2</v>
      </c>
      <c r="N42" s="32"/>
      <c r="O42" s="32"/>
      <c r="P42" s="32"/>
      <c r="R42" s="32"/>
      <c r="S42" s="32"/>
    </row>
    <row r="43" ht="22.5" customHeight="1">
      <c r="A43" s="28" t="s">
        <v>594</v>
      </c>
      <c r="B43" s="8" t="s">
        <v>19</v>
      </c>
      <c r="C43" s="9">
        <v>5.2</v>
      </c>
      <c r="D43" s="8" t="s">
        <v>20</v>
      </c>
      <c r="E43" s="7">
        <v>46.0</v>
      </c>
      <c r="F43" s="7">
        <v>30.0</v>
      </c>
      <c r="G43" s="9">
        <v>48.0</v>
      </c>
      <c r="H43" s="31">
        <v>30.0</v>
      </c>
      <c r="I43" s="31">
        <v>2.0</v>
      </c>
      <c r="J43" s="31" t="s">
        <v>595</v>
      </c>
      <c r="K43" s="11" t="str">
        <f t="shared" si="1"/>
        <v>Floor 5|5.2</v>
      </c>
      <c r="N43" s="32"/>
      <c r="O43" s="32"/>
      <c r="P43" s="32"/>
      <c r="R43" s="32"/>
      <c r="S43" s="32"/>
    </row>
    <row r="44" ht="22.5" customHeight="1">
      <c r="A44" s="28" t="s">
        <v>596</v>
      </c>
      <c r="B44" s="8" t="s">
        <v>19</v>
      </c>
      <c r="C44" s="9" t="s">
        <v>145</v>
      </c>
      <c r="D44" s="8" t="s">
        <v>39</v>
      </c>
      <c r="E44" s="7">
        <v>46.0</v>
      </c>
      <c r="F44" s="7">
        <v>30.0</v>
      </c>
      <c r="G44" s="9">
        <v>44.0</v>
      </c>
      <c r="H44" s="31">
        <v>28.0</v>
      </c>
      <c r="I44" s="31">
        <v>2.828</v>
      </c>
      <c r="J44" s="31" t="s">
        <v>597</v>
      </c>
      <c r="K44" s="11" t="str">
        <f t="shared" si="1"/>
        <v>Floor 5|5.pano</v>
      </c>
      <c r="N44" s="32"/>
      <c r="O44" s="32"/>
      <c r="P44" s="32"/>
      <c r="R44" s="32"/>
      <c r="S44" s="32"/>
    </row>
    <row r="45" ht="22.5" customHeight="1">
      <c r="A45" s="28" t="s">
        <v>598</v>
      </c>
      <c r="B45" s="8" t="s">
        <v>19</v>
      </c>
      <c r="C45" s="9" t="s">
        <v>145</v>
      </c>
      <c r="D45" s="8" t="s">
        <v>39</v>
      </c>
      <c r="E45" s="7">
        <v>46.0</v>
      </c>
      <c r="F45" s="7">
        <v>30.0</v>
      </c>
      <c r="G45" s="9">
        <v>44.0</v>
      </c>
      <c r="H45" s="31">
        <v>28.0</v>
      </c>
      <c r="I45" s="31">
        <v>2.828</v>
      </c>
      <c r="J45" s="31" t="s">
        <v>599</v>
      </c>
      <c r="K45" s="11" t="str">
        <f t="shared" si="1"/>
        <v>Floor 5|5.pano</v>
      </c>
      <c r="N45" s="32"/>
      <c r="O45" s="32"/>
      <c r="P45" s="32"/>
      <c r="R45" s="32"/>
      <c r="S45" s="32"/>
    </row>
    <row r="46" ht="22.5" customHeight="1">
      <c r="A46" s="28" t="s">
        <v>600</v>
      </c>
      <c r="B46" s="8" t="s">
        <v>19</v>
      </c>
      <c r="C46" s="9" t="s">
        <v>145</v>
      </c>
      <c r="D46" s="8" t="s">
        <v>39</v>
      </c>
      <c r="E46" s="7">
        <v>46.0</v>
      </c>
      <c r="F46" s="7">
        <v>30.0</v>
      </c>
      <c r="G46" s="9">
        <v>44.0</v>
      </c>
      <c r="H46" s="31">
        <v>31.0</v>
      </c>
      <c r="I46" s="31">
        <v>2.236</v>
      </c>
      <c r="J46" s="31" t="s">
        <v>601</v>
      </c>
      <c r="K46" s="11" t="str">
        <f t="shared" si="1"/>
        <v>Floor 5|5.pano</v>
      </c>
      <c r="N46" s="32"/>
      <c r="O46" s="32"/>
      <c r="P46" s="32"/>
      <c r="R46" s="32"/>
      <c r="S46" s="32"/>
    </row>
    <row r="47" ht="22.5" customHeight="1">
      <c r="A47" s="28" t="s">
        <v>602</v>
      </c>
      <c r="B47" s="8" t="s">
        <v>19</v>
      </c>
      <c r="C47" s="9">
        <v>6.1</v>
      </c>
      <c r="D47" s="8" t="s">
        <v>20</v>
      </c>
      <c r="E47" s="7">
        <v>48.0</v>
      </c>
      <c r="F47" s="7">
        <v>27.0</v>
      </c>
      <c r="G47" s="9">
        <v>43.0</v>
      </c>
      <c r="H47" s="31">
        <v>31.0</v>
      </c>
      <c r="I47" s="31">
        <v>6.403</v>
      </c>
      <c r="J47" s="31" t="s">
        <v>603</v>
      </c>
      <c r="K47" s="11" t="str">
        <f t="shared" si="1"/>
        <v>Floor 5|6.1</v>
      </c>
      <c r="N47" s="32"/>
      <c r="O47" s="32"/>
      <c r="P47" s="32"/>
      <c r="R47" s="32"/>
      <c r="S47" s="32"/>
    </row>
    <row r="48" ht="22.5" customHeight="1">
      <c r="A48" s="28" t="s">
        <v>604</v>
      </c>
      <c r="B48" s="8" t="s">
        <v>19</v>
      </c>
      <c r="C48" s="9">
        <v>6.1</v>
      </c>
      <c r="D48" s="8" t="s">
        <v>20</v>
      </c>
      <c r="E48" s="7">
        <v>48.0</v>
      </c>
      <c r="F48" s="7">
        <v>27.0</v>
      </c>
      <c r="G48" s="9">
        <v>44.0</v>
      </c>
      <c r="H48" s="31">
        <v>31.0</v>
      </c>
      <c r="I48" s="31">
        <v>5.657</v>
      </c>
      <c r="J48" s="31" t="s">
        <v>605</v>
      </c>
      <c r="K48" s="11" t="str">
        <f t="shared" si="1"/>
        <v>Floor 5|6.1</v>
      </c>
      <c r="N48" s="32"/>
      <c r="O48" s="32"/>
      <c r="P48" s="32"/>
      <c r="R48" s="32"/>
      <c r="S48" s="32"/>
    </row>
    <row r="49" ht="22.5" customHeight="1">
      <c r="A49" s="28" t="s">
        <v>606</v>
      </c>
      <c r="B49" s="8" t="s">
        <v>19</v>
      </c>
      <c r="C49" s="9">
        <v>6.1</v>
      </c>
      <c r="D49" s="8" t="s">
        <v>20</v>
      </c>
      <c r="E49" s="7">
        <v>48.0</v>
      </c>
      <c r="F49" s="7">
        <v>27.0</v>
      </c>
      <c r="G49" s="9">
        <v>43.0</v>
      </c>
      <c r="H49" s="31">
        <v>30.0</v>
      </c>
      <c r="I49" s="31">
        <v>5.831</v>
      </c>
      <c r="J49" s="31" t="s">
        <v>607</v>
      </c>
      <c r="K49" s="11" t="str">
        <f t="shared" si="1"/>
        <v>Floor 5|6.1</v>
      </c>
      <c r="N49" s="32"/>
      <c r="O49" s="32"/>
      <c r="P49" s="32"/>
      <c r="R49" s="32"/>
      <c r="S49" s="32"/>
    </row>
    <row r="50" ht="22.5" customHeight="1">
      <c r="A50" s="28" t="s">
        <v>608</v>
      </c>
      <c r="B50" s="8" t="s">
        <v>19</v>
      </c>
      <c r="C50" s="9">
        <v>6.2</v>
      </c>
      <c r="D50" s="8" t="s">
        <v>20</v>
      </c>
      <c r="E50" s="7">
        <v>48.0</v>
      </c>
      <c r="F50" s="7">
        <v>27.0</v>
      </c>
      <c r="G50" s="9">
        <v>44.0</v>
      </c>
      <c r="H50" s="31">
        <v>32.0</v>
      </c>
      <c r="I50" s="31">
        <v>6.403</v>
      </c>
      <c r="J50" s="31" t="s">
        <v>609</v>
      </c>
      <c r="K50" s="11" t="str">
        <f t="shared" si="1"/>
        <v>Floor 5|6.2</v>
      </c>
      <c r="N50" s="32"/>
      <c r="O50" s="32"/>
      <c r="P50" s="32"/>
      <c r="R50" s="32"/>
      <c r="S50" s="32"/>
    </row>
    <row r="51" ht="22.5" customHeight="1">
      <c r="A51" s="28" t="s">
        <v>610</v>
      </c>
      <c r="B51" s="8" t="s">
        <v>19</v>
      </c>
      <c r="C51" s="9">
        <v>6.2</v>
      </c>
      <c r="D51" s="8" t="s">
        <v>20</v>
      </c>
      <c r="E51" s="7">
        <v>48.0</v>
      </c>
      <c r="F51" s="7">
        <v>27.0</v>
      </c>
      <c r="G51" s="9">
        <v>44.0</v>
      </c>
      <c r="H51" s="31">
        <v>30.0</v>
      </c>
      <c r="I51" s="31">
        <v>5.0</v>
      </c>
      <c r="J51" s="31" t="s">
        <v>611</v>
      </c>
      <c r="K51" s="11" t="str">
        <f t="shared" si="1"/>
        <v>Floor 5|6.2</v>
      </c>
      <c r="N51" s="32"/>
      <c r="O51" s="32"/>
      <c r="P51" s="32"/>
      <c r="R51" s="32"/>
      <c r="S51" s="32"/>
    </row>
    <row r="52" ht="22.5" customHeight="1">
      <c r="A52" s="28" t="s">
        <v>612</v>
      </c>
      <c r="B52" s="8" t="s">
        <v>19</v>
      </c>
      <c r="C52" s="9">
        <v>6.2</v>
      </c>
      <c r="D52" s="8" t="s">
        <v>20</v>
      </c>
      <c r="E52" s="7">
        <v>48.0</v>
      </c>
      <c r="F52" s="7">
        <v>27.0</v>
      </c>
      <c r="G52" s="9">
        <v>44.0</v>
      </c>
      <c r="H52" s="31">
        <v>31.0</v>
      </c>
      <c r="I52" s="31">
        <v>5.657</v>
      </c>
      <c r="J52" s="31" t="s">
        <v>613</v>
      </c>
      <c r="K52" s="11" t="str">
        <f t="shared" si="1"/>
        <v>Floor 5|6.2</v>
      </c>
      <c r="N52" s="32"/>
      <c r="O52" s="32"/>
      <c r="P52" s="32"/>
      <c r="R52" s="32"/>
      <c r="S52" s="32"/>
    </row>
    <row r="53" ht="22.5" customHeight="1">
      <c r="A53" s="28" t="s">
        <v>614</v>
      </c>
      <c r="B53" s="8" t="s">
        <v>19</v>
      </c>
      <c r="C53" s="9" t="s">
        <v>164</v>
      </c>
      <c r="D53" s="8" t="s">
        <v>39</v>
      </c>
      <c r="E53" s="7">
        <v>48.0</v>
      </c>
      <c r="F53" s="7">
        <v>27.0</v>
      </c>
      <c r="G53" s="9">
        <v>43.0</v>
      </c>
      <c r="H53" s="31">
        <v>30.0</v>
      </c>
      <c r="I53" s="31">
        <v>5.831</v>
      </c>
      <c r="J53" s="31" t="s">
        <v>615</v>
      </c>
      <c r="K53" s="11" t="str">
        <f t="shared" si="1"/>
        <v>Floor 5|6_pano</v>
      </c>
      <c r="N53" s="32"/>
      <c r="O53" s="32"/>
      <c r="P53" s="32"/>
      <c r="R53" s="32"/>
      <c r="S53" s="32"/>
    </row>
    <row r="54" ht="22.5" customHeight="1">
      <c r="A54" s="28" t="s">
        <v>616</v>
      </c>
      <c r="B54" s="8" t="s">
        <v>19</v>
      </c>
      <c r="C54" s="9" t="s">
        <v>164</v>
      </c>
      <c r="D54" s="8" t="s">
        <v>39</v>
      </c>
      <c r="E54" s="7">
        <v>48.0</v>
      </c>
      <c r="F54" s="7">
        <v>27.0</v>
      </c>
      <c r="G54" s="9">
        <v>43.0</v>
      </c>
      <c r="H54" s="31">
        <v>31.0</v>
      </c>
      <c r="I54" s="31">
        <v>6.403</v>
      </c>
      <c r="J54" s="31" t="s">
        <v>617</v>
      </c>
      <c r="K54" s="11" t="str">
        <f t="shared" si="1"/>
        <v>Floor 5|6_pano</v>
      </c>
      <c r="N54" s="32"/>
      <c r="O54" s="32"/>
      <c r="P54" s="32"/>
      <c r="R54" s="32"/>
      <c r="S54" s="32"/>
    </row>
    <row r="55" ht="22.5" customHeight="1">
      <c r="A55" s="28" t="s">
        <v>618</v>
      </c>
      <c r="B55" s="8" t="s">
        <v>19</v>
      </c>
      <c r="C55" s="9" t="s">
        <v>164</v>
      </c>
      <c r="D55" s="8" t="s">
        <v>39</v>
      </c>
      <c r="E55" s="7">
        <v>48.0</v>
      </c>
      <c r="F55" s="7">
        <v>27.0</v>
      </c>
      <c r="G55" s="9">
        <v>44.0</v>
      </c>
      <c r="H55" s="31">
        <v>30.0</v>
      </c>
      <c r="I55" s="31">
        <v>5.0</v>
      </c>
      <c r="J55" s="31" t="s">
        <v>619</v>
      </c>
      <c r="K55" s="11" t="str">
        <f t="shared" si="1"/>
        <v>Floor 5|6_pano</v>
      </c>
      <c r="N55" s="32"/>
      <c r="O55" s="32"/>
      <c r="P55" s="32"/>
      <c r="R55" s="32"/>
      <c r="S55" s="32"/>
    </row>
    <row r="56" ht="22.5" customHeight="1">
      <c r="A56" s="28" t="s">
        <v>620</v>
      </c>
      <c r="B56" s="8" t="s">
        <v>171</v>
      </c>
      <c r="C56" s="9">
        <v>1.1</v>
      </c>
      <c r="D56" s="8" t="s">
        <v>20</v>
      </c>
      <c r="E56" s="7">
        <v>30.0</v>
      </c>
      <c r="F56" s="7">
        <v>10.0</v>
      </c>
      <c r="G56" s="9">
        <v>30.0</v>
      </c>
      <c r="H56" s="31">
        <v>39.0</v>
      </c>
      <c r="I56" s="31">
        <v>29.0</v>
      </c>
      <c r="J56" s="31" t="s">
        <v>621</v>
      </c>
      <c r="K56" s="11" t="str">
        <f t="shared" si="1"/>
        <v>Floor 3|1.1</v>
      </c>
      <c r="N56" s="32"/>
      <c r="O56" s="32"/>
      <c r="P56" s="32"/>
      <c r="R56" s="32"/>
      <c r="S56" s="32"/>
    </row>
    <row r="57" ht="22.5" customHeight="1">
      <c r="A57" s="28" t="s">
        <v>622</v>
      </c>
      <c r="B57" s="8" t="s">
        <v>171</v>
      </c>
      <c r="C57" s="9">
        <v>1.1</v>
      </c>
      <c r="D57" s="8" t="s">
        <v>20</v>
      </c>
      <c r="E57" s="7">
        <v>30.0</v>
      </c>
      <c r="F57" s="7">
        <v>10.0</v>
      </c>
      <c r="G57" s="9">
        <v>37.0</v>
      </c>
      <c r="H57" s="31">
        <v>40.0</v>
      </c>
      <c r="I57" s="31">
        <v>30.806</v>
      </c>
      <c r="J57" s="31" t="s">
        <v>623</v>
      </c>
      <c r="K57" s="11" t="str">
        <f t="shared" si="1"/>
        <v>Floor 3|1.1</v>
      </c>
      <c r="N57" s="32"/>
      <c r="O57" s="32"/>
      <c r="P57" s="32"/>
      <c r="R57" s="32"/>
      <c r="S57" s="32"/>
    </row>
    <row r="58" ht="22.5" customHeight="1">
      <c r="A58" s="28" t="s">
        <v>624</v>
      </c>
      <c r="B58" s="8" t="s">
        <v>171</v>
      </c>
      <c r="C58" s="9">
        <v>1.1</v>
      </c>
      <c r="D58" s="8" t="s">
        <v>20</v>
      </c>
      <c r="E58" s="7">
        <v>30.0</v>
      </c>
      <c r="F58" s="7">
        <v>10.0</v>
      </c>
      <c r="G58" s="9">
        <v>27.0</v>
      </c>
      <c r="H58" s="31">
        <v>41.0</v>
      </c>
      <c r="I58" s="31">
        <v>31.145</v>
      </c>
      <c r="J58" s="31" t="s">
        <v>625</v>
      </c>
      <c r="K58" s="11" t="str">
        <f t="shared" si="1"/>
        <v>Floor 3|1.1</v>
      </c>
      <c r="N58" s="32"/>
      <c r="O58" s="32"/>
      <c r="P58" s="32"/>
      <c r="R58" s="32"/>
      <c r="S58" s="32"/>
    </row>
    <row r="59" ht="22.5" customHeight="1">
      <c r="A59" s="28" t="s">
        <v>626</v>
      </c>
      <c r="B59" s="8" t="s">
        <v>171</v>
      </c>
      <c r="C59" s="9">
        <v>1.2</v>
      </c>
      <c r="D59" s="8" t="s">
        <v>20</v>
      </c>
      <c r="E59" s="7">
        <v>30.0</v>
      </c>
      <c r="F59" s="7">
        <v>10.0</v>
      </c>
      <c r="G59" s="9">
        <v>34.0</v>
      </c>
      <c r="H59" s="31">
        <v>41.0</v>
      </c>
      <c r="I59" s="31">
        <v>31.257</v>
      </c>
      <c r="J59" s="31" t="s">
        <v>627</v>
      </c>
      <c r="K59" s="11" t="str">
        <f t="shared" si="1"/>
        <v>Floor 3|1.2</v>
      </c>
      <c r="N59" s="32"/>
      <c r="O59" s="32"/>
      <c r="P59" s="32"/>
      <c r="R59" s="32"/>
      <c r="S59" s="32"/>
    </row>
    <row r="60" ht="22.5" customHeight="1">
      <c r="A60" s="28" t="s">
        <v>628</v>
      </c>
      <c r="B60" s="8" t="s">
        <v>171</v>
      </c>
      <c r="C60" s="9">
        <v>1.2</v>
      </c>
      <c r="D60" s="8" t="s">
        <v>20</v>
      </c>
      <c r="E60" s="7">
        <v>30.0</v>
      </c>
      <c r="F60" s="7">
        <v>10.0</v>
      </c>
      <c r="G60" s="9">
        <v>29.0</v>
      </c>
      <c r="H60" s="31">
        <v>39.0</v>
      </c>
      <c r="I60" s="31">
        <v>29.017</v>
      </c>
      <c r="J60" s="31" t="s">
        <v>629</v>
      </c>
      <c r="K60" s="11" t="str">
        <f t="shared" si="1"/>
        <v>Floor 3|1.2</v>
      </c>
      <c r="N60" s="32"/>
      <c r="O60" s="32"/>
      <c r="P60" s="32"/>
      <c r="R60" s="32"/>
      <c r="S60" s="32"/>
    </row>
    <row r="61" ht="22.5" customHeight="1">
      <c r="A61" s="28" t="s">
        <v>630</v>
      </c>
      <c r="B61" s="8" t="s">
        <v>171</v>
      </c>
      <c r="C61" s="9">
        <v>1.2</v>
      </c>
      <c r="D61" s="8" t="s">
        <v>20</v>
      </c>
      <c r="E61" s="7">
        <v>30.0</v>
      </c>
      <c r="F61" s="7">
        <v>10.0</v>
      </c>
      <c r="G61" s="9">
        <v>37.0</v>
      </c>
      <c r="H61" s="31">
        <v>41.0</v>
      </c>
      <c r="I61" s="31">
        <v>31.78</v>
      </c>
      <c r="J61" s="31" t="s">
        <v>631</v>
      </c>
      <c r="K61" s="11" t="str">
        <f t="shared" si="1"/>
        <v>Floor 3|1.2</v>
      </c>
      <c r="N61" s="32"/>
      <c r="O61" s="32"/>
      <c r="P61" s="32"/>
      <c r="R61" s="32"/>
      <c r="S61" s="32"/>
    </row>
    <row r="62" ht="22.5" customHeight="1">
      <c r="A62" s="28" t="s">
        <v>632</v>
      </c>
      <c r="B62" s="8" t="s">
        <v>171</v>
      </c>
      <c r="C62" s="9" t="s">
        <v>184</v>
      </c>
      <c r="D62" s="8" t="s">
        <v>39</v>
      </c>
      <c r="E62" s="7">
        <v>30.0</v>
      </c>
      <c r="F62" s="7">
        <v>10.0</v>
      </c>
      <c r="G62" s="9">
        <v>36.0</v>
      </c>
      <c r="H62" s="31">
        <v>29.0</v>
      </c>
      <c r="I62" s="31">
        <v>19.925</v>
      </c>
      <c r="J62" s="31" t="s">
        <v>633</v>
      </c>
      <c r="K62" s="11" t="str">
        <f t="shared" si="1"/>
        <v>Floor 3|1.pano</v>
      </c>
      <c r="N62" s="32"/>
      <c r="O62" s="32"/>
      <c r="P62" s="32"/>
      <c r="R62" s="32"/>
      <c r="S62" s="32"/>
    </row>
    <row r="63" ht="22.5" customHeight="1">
      <c r="A63" s="28" t="s">
        <v>634</v>
      </c>
      <c r="B63" s="8" t="s">
        <v>171</v>
      </c>
      <c r="C63" s="9" t="s">
        <v>184</v>
      </c>
      <c r="D63" s="8" t="s">
        <v>39</v>
      </c>
      <c r="E63" s="7">
        <v>30.0</v>
      </c>
      <c r="F63" s="7">
        <v>10.0</v>
      </c>
      <c r="G63" s="9">
        <v>40.0</v>
      </c>
      <c r="H63" s="31">
        <v>34.0</v>
      </c>
      <c r="I63" s="31">
        <v>26.0</v>
      </c>
      <c r="J63" s="31" t="s">
        <v>635</v>
      </c>
      <c r="K63" s="11" t="str">
        <f t="shared" si="1"/>
        <v>Floor 3|1.pano</v>
      </c>
      <c r="N63" s="32"/>
      <c r="O63" s="32"/>
      <c r="P63" s="32"/>
      <c r="R63" s="32"/>
      <c r="S63" s="32"/>
    </row>
    <row r="64" ht="22.5" customHeight="1">
      <c r="A64" s="28" t="s">
        <v>636</v>
      </c>
      <c r="B64" s="8" t="s">
        <v>171</v>
      </c>
      <c r="C64" s="9" t="s">
        <v>184</v>
      </c>
      <c r="D64" s="8" t="s">
        <v>39</v>
      </c>
      <c r="E64" s="7">
        <v>30.0</v>
      </c>
      <c r="F64" s="7">
        <v>10.0</v>
      </c>
      <c r="G64" s="9">
        <v>35.0</v>
      </c>
      <c r="H64" s="31">
        <v>35.0</v>
      </c>
      <c r="I64" s="31">
        <v>25.495</v>
      </c>
      <c r="J64" s="31" t="s">
        <v>637</v>
      </c>
      <c r="K64" s="11" t="str">
        <f t="shared" si="1"/>
        <v>Floor 3|1.pano</v>
      </c>
      <c r="N64" s="32"/>
      <c r="O64" s="32"/>
      <c r="P64" s="32"/>
      <c r="R64" s="32"/>
      <c r="S64" s="32"/>
    </row>
    <row r="65" ht="22.5" customHeight="1">
      <c r="A65" s="28" t="s">
        <v>638</v>
      </c>
      <c r="B65" s="8" t="s">
        <v>171</v>
      </c>
      <c r="C65" s="9">
        <v>2.1</v>
      </c>
      <c r="D65" s="8" t="s">
        <v>20</v>
      </c>
      <c r="E65" s="7">
        <v>40.0</v>
      </c>
      <c r="F65" s="7">
        <v>18.0</v>
      </c>
      <c r="G65" s="9">
        <v>39.0</v>
      </c>
      <c r="H65" s="31">
        <v>21.0</v>
      </c>
      <c r="I65" s="31">
        <v>3.162</v>
      </c>
      <c r="J65" s="31" t="s">
        <v>639</v>
      </c>
      <c r="K65" s="11" t="str">
        <f t="shared" si="1"/>
        <v>Floor 3|2.1</v>
      </c>
      <c r="N65" s="32"/>
      <c r="O65" s="32"/>
      <c r="P65" s="32"/>
      <c r="R65" s="32"/>
      <c r="S65" s="32"/>
    </row>
    <row r="66" ht="22.5" customHeight="1">
      <c r="A66" s="28" t="s">
        <v>640</v>
      </c>
      <c r="B66" s="8" t="s">
        <v>171</v>
      </c>
      <c r="C66" s="9">
        <v>2.1</v>
      </c>
      <c r="D66" s="8" t="s">
        <v>20</v>
      </c>
      <c r="E66" s="7">
        <v>40.0</v>
      </c>
      <c r="F66" s="7">
        <v>18.0</v>
      </c>
      <c r="G66" s="9">
        <v>39.0</v>
      </c>
      <c r="H66" s="31">
        <v>18.0</v>
      </c>
      <c r="I66" s="31">
        <v>1.0</v>
      </c>
      <c r="J66" s="31" t="s">
        <v>641</v>
      </c>
      <c r="K66" s="11" t="str">
        <f t="shared" si="1"/>
        <v>Floor 3|2.1</v>
      </c>
      <c r="N66" s="32"/>
      <c r="O66" s="32"/>
      <c r="P66" s="32"/>
      <c r="R66" s="32"/>
      <c r="S66" s="32"/>
    </row>
    <row r="67" ht="22.5" customHeight="1">
      <c r="A67" s="28" t="s">
        <v>642</v>
      </c>
      <c r="B67" s="8" t="s">
        <v>171</v>
      </c>
      <c r="C67" s="9">
        <v>2.1</v>
      </c>
      <c r="D67" s="8" t="s">
        <v>20</v>
      </c>
      <c r="E67" s="7">
        <v>40.0</v>
      </c>
      <c r="F67" s="7">
        <v>18.0</v>
      </c>
      <c r="G67" s="9">
        <v>38.0</v>
      </c>
      <c r="H67" s="31">
        <v>23.0</v>
      </c>
      <c r="I67" s="31">
        <v>5.385</v>
      </c>
      <c r="J67" s="31" t="s">
        <v>643</v>
      </c>
      <c r="K67" s="11" t="str">
        <f t="shared" si="1"/>
        <v>Floor 3|2.1</v>
      </c>
      <c r="N67" s="32"/>
      <c r="O67" s="32"/>
      <c r="P67" s="32"/>
      <c r="R67" s="32"/>
      <c r="S67" s="32"/>
    </row>
    <row r="68" ht="22.5" customHeight="1">
      <c r="A68" s="28" t="s">
        <v>644</v>
      </c>
      <c r="B68" s="8" t="s">
        <v>171</v>
      </c>
      <c r="C68" s="9">
        <v>2.2</v>
      </c>
      <c r="D68" s="8" t="s">
        <v>20</v>
      </c>
      <c r="E68" s="7">
        <v>40.0</v>
      </c>
      <c r="F68" s="7">
        <v>18.0</v>
      </c>
      <c r="G68" s="9">
        <v>35.0</v>
      </c>
      <c r="H68" s="31">
        <v>22.0</v>
      </c>
      <c r="I68" s="31">
        <v>6.403</v>
      </c>
      <c r="J68" s="31" t="s">
        <v>645</v>
      </c>
      <c r="K68" s="11" t="str">
        <f t="shared" si="1"/>
        <v>Floor 3|2.2</v>
      </c>
      <c r="N68" s="32"/>
      <c r="O68" s="32"/>
      <c r="P68" s="32"/>
      <c r="R68" s="32"/>
      <c r="S68" s="32"/>
    </row>
    <row r="69" ht="22.5" customHeight="1">
      <c r="A69" s="28" t="s">
        <v>646</v>
      </c>
      <c r="B69" s="8" t="s">
        <v>171</v>
      </c>
      <c r="C69" s="9">
        <v>2.2</v>
      </c>
      <c r="D69" s="8" t="s">
        <v>20</v>
      </c>
      <c r="E69" s="7">
        <v>40.0</v>
      </c>
      <c r="F69" s="7">
        <v>18.0</v>
      </c>
      <c r="G69" s="9">
        <v>39.0</v>
      </c>
      <c r="H69" s="31">
        <v>22.0</v>
      </c>
      <c r="I69" s="31">
        <v>4.123</v>
      </c>
      <c r="J69" s="31" t="s">
        <v>647</v>
      </c>
      <c r="K69" s="11" t="str">
        <f t="shared" si="1"/>
        <v>Floor 3|2.2</v>
      </c>
      <c r="N69" s="32"/>
      <c r="O69" s="32"/>
      <c r="P69" s="32"/>
      <c r="R69" s="32"/>
      <c r="S69" s="32"/>
    </row>
    <row r="70" ht="22.5" customHeight="1">
      <c r="A70" s="28" t="s">
        <v>648</v>
      </c>
      <c r="B70" s="8" t="s">
        <v>171</v>
      </c>
      <c r="C70" s="9">
        <v>2.2</v>
      </c>
      <c r="D70" s="8" t="s">
        <v>20</v>
      </c>
      <c r="E70" s="7">
        <v>40.0</v>
      </c>
      <c r="F70" s="7">
        <v>18.0</v>
      </c>
      <c r="G70" s="9">
        <v>39.0</v>
      </c>
      <c r="H70" s="31">
        <v>22.0</v>
      </c>
      <c r="I70" s="31">
        <v>4.123</v>
      </c>
      <c r="J70" s="31" t="s">
        <v>649</v>
      </c>
      <c r="K70" s="11" t="str">
        <f t="shared" si="1"/>
        <v>Floor 3|2.2</v>
      </c>
      <c r="N70" s="32"/>
      <c r="O70" s="32"/>
      <c r="P70" s="32"/>
      <c r="R70" s="32"/>
      <c r="S70" s="32"/>
    </row>
    <row r="71" ht="22.5" customHeight="1">
      <c r="A71" s="28" t="s">
        <v>650</v>
      </c>
      <c r="B71" s="8" t="s">
        <v>171</v>
      </c>
      <c r="C71" s="9" t="s">
        <v>203</v>
      </c>
      <c r="D71" s="8" t="s">
        <v>39</v>
      </c>
      <c r="E71" s="7">
        <v>40.0</v>
      </c>
      <c r="F71" s="7">
        <v>18.0</v>
      </c>
      <c r="G71" s="9">
        <v>39.0</v>
      </c>
      <c r="H71" s="31">
        <v>21.0</v>
      </c>
      <c r="I71" s="31">
        <v>3.162</v>
      </c>
      <c r="J71" s="31" t="s">
        <v>651</v>
      </c>
      <c r="K71" s="11" t="str">
        <f t="shared" si="1"/>
        <v>Floor 3|2_pano</v>
      </c>
      <c r="N71" s="32"/>
      <c r="O71" s="32"/>
      <c r="P71" s="32"/>
      <c r="R71" s="32"/>
      <c r="S71" s="32"/>
    </row>
    <row r="72" ht="22.5" customHeight="1">
      <c r="A72" s="28" t="s">
        <v>652</v>
      </c>
      <c r="B72" s="8" t="s">
        <v>171</v>
      </c>
      <c r="C72" s="9" t="s">
        <v>203</v>
      </c>
      <c r="D72" s="8" t="s">
        <v>39</v>
      </c>
      <c r="E72" s="7">
        <v>40.0</v>
      </c>
      <c r="F72" s="7">
        <v>18.0</v>
      </c>
      <c r="G72" s="9">
        <v>39.0</v>
      </c>
      <c r="H72" s="31">
        <v>21.0</v>
      </c>
      <c r="I72" s="31">
        <v>3.162</v>
      </c>
      <c r="J72" s="31" t="s">
        <v>653</v>
      </c>
      <c r="K72" s="11" t="str">
        <f t="shared" si="1"/>
        <v>Floor 3|2_pano</v>
      </c>
      <c r="N72" s="32"/>
      <c r="O72" s="32"/>
      <c r="P72" s="32"/>
      <c r="R72" s="32"/>
      <c r="S72" s="32"/>
    </row>
    <row r="73" ht="22.5" customHeight="1">
      <c r="A73" s="28" t="s">
        <v>654</v>
      </c>
      <c r="B73" s="8" t="s">
        <v>171</v>
      </c>
      <c r="C73" s="9" t="s">
        <v>203</v>
      </c>
      <c r="D73" s="8" t="s">
        <v>39</v>
      </c>
      <c r="E73" s="7">
        <v>40.0</v>
      </c>
      <c r="F73" s="7">
        <v>18.0</v>
      </c>
      <c r="G73" s="9">
        <v>38.0</v>
      </c>
      <c r="H73" s="31">
        <v>22.0</v>
      </c>
      <c r="I73" s="31">
        <v>4.472</v>
      </c>
      <c r="J73" s="31" t="s">
        <v>655</v>
      </c>
      <c r="K73" s="11" t="str">
        <f t="shared" si="1"/>
        <v>Floor 3|2_pano</v>
      </c>
      <c r="N73" s="32"/>
      <c r="O73" s="32"/>
      <c r="P73" s="32"/>
      <c r="R73" s="32"/>
      <c r="S73" s="32"/>
    </row>
    <row r="74" ht="22.5" customHeight="1">
      <c r="A74" s="28" t="s">
        <v>656</v>
      </c>
      <c r="B74" s="8" t="s">
        <v>171</v>
      </c>
      <c r="C74" s="9">
        <v>3.1</v>
      </c>
      <c r="D74" s="8" t="s">
        <v>20</v>
      </c>
      <c r="E74" s="7">
        <v>31.0</v>
      </c>
      <c r="F74" s="7">
        <v>23.0</v>
      </c>
      <c r="G74" s="9">
        <v>38.0</v>
      </c>
      <c r="H74" s="31">
        <v>26.0</v>
      </c>
      <c r="I74" s="31">
        <v>7.616</v>
      </c>
      <c r="J74" s="31" t="s">
        <v>657</v>
      </c>
      <c r="K74" s="11" t="str">
        <f t="shared" si="1"/>
        <v>Floor 3|3.1</v>
      </c>
      <c r="N74" s="32"/>
      <c r="O74" s="32"/>
      <c r="P74" s="32"/>
      <c r="R74" s="33"/>
      <c r="S74" s="33"/>
      <c r="T74" s="6" t="s">
        <v>658</v>
      </c>
    </row>
    <row r="75" ht="22.5" customHeight="1">
      <c r="A75" s="28" t="s">
        <v>659</v>
      </c>
      <c r="B75" s="8" t="s">
        <v>171</v>
      </c>
      <c r="C75" s="9">
        <v>3.1</v>
      </c>
      <c r="D75" s="8" t="s">
        <v>20</v>
      </c>
      <c r="E75" s="7">
        <v>31.0</v>
      </c>
      <c r="F75" s="7">
        <v>23.0</v>
      </c>
      <c r="G75" s="9">
        <v>36.0</v>
      </c>
      <c r="H75" s="31">
        <v>27.0</v>
      </c>
      <c r="I75" s="31">
        <v>6.403</v>
      </c>
      <c r="J75" s="31" t="s">
        <v>660</v>
      </c>
      <c r="K75" s="11" t="str">
        <f t="shared" si="1"/>
        <v>Floor 3|3.1</v>
      </c>
      <c r="N75" s="32"/>
      <c r="O75" s="32"/>
      <c r="P75" s="32"/>
      <c r="R75" s="32"/>
      <c r="S75" s="32"/>
    </row>
    <row r="76" ht="22.5" customHeight="1">
      <c r="A76" s="28" t="s">
        <v>661</v>
      </c>
      <c r="B76" s="8" t="s">
        <v>171</v>
      </c>
      <c r="C76" s="9">
        <v>3.1</v>
      </c>
      <c r="D76" s="8" t="s">
        <v>20</v>
      </c>
      <c r="E76" s="7">
        <v>31.0</v>
      </c>
      <c r="F76" s="7">
        <v>23.0</v>
      </c>
      <c r="G76" s="9">
        <v>37.0</v>
      </c>
      <c r="H76" s="31">
        <v>27.0</v>
      </c>
      <c r="I76" s="31">
        <v>7.211</v>
      </c>
      <c r="J76" s="31" t="s">
        <v>662</v>
      </c>
      <c r="K76" s="11" t="str">
        <f t="shared" si="1"/>
        <v>Floor 3|3.1</v>
      </c>
      <c r="N76" s="32"/>
      <c r="O76" s="32"/>
      <c r="P76" s="32"/>
      <c r="R76" s="32"/>
      <c r="S76" s="32"/>
    </row>
    <row r="77" ht="22.5" customHeight="1">
      <c r="A77" s="28" t="s">
        <v>663</v>
      </c>
      <c r="B77" s="8" t="s">
        <v>171</v>
      </c>
      <c r="C77" s="9">
        <v>3.2</v>
      </c>
      <c r="D77" s="8" t="s">
        <v>20</v>
      </c>
      <c r="E77" s="7">
        <v>31.0</v>
      </c>
      <c r="F77" s="7">
        <v>23.0</v>
      </c>
      <c r="G77" s="9">
        <v>37.0</v>
      </c>
      <c r="H77" s="31">
        <v>25.0</v>
      </c>
      <c r="I77" s="31">
        <v>6.325</v>
      </c>
      <c r="J77" s="31" t="s">
        <v>664</v>
      </c>
      <c r="K77" s="11" t="str">
        <f t="shared" si="1"/>
        <v>Floor 3|3.2</v>
      </c>
      <c r="N77" s="32"/>
      <c r="O77" s="32"/>
      <c r="P77" s="32"/>
      <c r="R77" s="32"/>
      <c r="S77" s="32"/>
    </row>
    <row r="78" ht="22.5" customHeight="1">
      <c r="A78" s="28" t="s">
        <v>665</v>
      </c>
      <c r="B78" s="8" t="s">
        <v>171</v>
      </c>
      <c r="C78" s="9">
        <v>3.2</v>
      </c>
      <c r="D78" s="8" t="s">
        <v>20</v>
      </c>
      <c r="E78" s="7">
        <v>31.0</v>
      </c>
      <c r="F78" s="7">
        <v>23.0</v>
      </c>
      <c r="G78" s="9">
        <v>36.0</v>
      </c>
      <c r="H78" s="31">
        <v>26.0</v>
      </c>
      <c r="I78" s="31">
        <v>5.831</v>
      </c>
      <c r="J78" s="31" t="s">
        <v>666</v>
      </c>
      <c r="K78" s="11" t="str">
        <f t="shared" si="1"/>
        <v>Floor 3|3.2</v>
      </c>
      <c r="N78" s="32"/>
      <c r="O78" s="32"/>
      <c r="P78" s="32"/>
      <c r="R78" s="32"/>
      <c r="S78" s="32"/>
    </row>
    <row r="79" ht="22.5" customHeight="1">
      <c r="A79" s="28" t="s">
        <v>667</v>
      </c>
      <c r="B79" s="8" t="s">
        <v>171</v>
      </c>
      <c r="C79" s="9">
        <v>3.2</v>
      </c>
      <c r="D79" s="8" t="s">
        <v>20</v>
      </c>
      <c r="E79" s="7">
        <v>31.0</v>
      </c>
      <c r="F79" s="7">
        <v>23.0</v>
      </c>
      <c r="G79" s="9">
        <v>37.0</v>
      </c>
      <c r="H79" s="31">
        <v>26.0</v>
      </c>
      <c r="I79" s="31">
        <v>6.708</v>
      </c>
      <c r="J79" s="31" t="s">
        <v>668</v>
      </c>
      <c r="K79" s="11" t="str">
        <f t="shared" si="1"/>
        <v>Floor 3|3.2</v>
      </c>
      <c r="N79" s="32"/>
      <c r="O79" s="32"/>
      <c r="P79" s="32"/>
      <c r="R79" s="32"/>
      <c r="S79" s="32"/>
    </row>
    <row r="80" ht="22.5" customHeight="1">
      <c r="A80" s="28" t="s">
        <v>669</v>
      </c>
      <c r="B80" s="8" t="s">
        <v>171</v>
      </c>
      <c r="C80" s="9" t="s">
        <v>95</v>
      </c>
      <c r="D80" s="8" t="s">
        <v>39</v>
      </c>
      <c r="E80" s="7">
        <v>31.0</v>
      </c>
      <c r="F80" s="7">
        <v>23.0</v>
      </c>
      <c r="G80" s="9">
        <v>36.0</v>
      </c>
      <c r="H80" s="31">
        <v>26.0</v>
      </c>
      <c r="I80" s="31">
        <v>5.831</v>
      </c>
      <c r="J80" s="31" t="s">
        <v>670</v>
      </c>
      <c r="K80" s="11" t="str">
        <f t="shared" si="1"/>
        <v>Floor 3|3_pano</v>
      </c>
      <c r="N80" s="32"/>
      <c r="O80" s="32"/>
      <c r="P80" s="32"/>
      <c r="R80" s="32"/>
      <c r="S80" s="32"/>
    </row>
    <row r="81" ht="22.5" customHeight="1">
      <c r="A81" s="28" t="s">
        <v>671</v>
      </c>
      <c r="B81" s="8" t="s">
        <v>171</v>
      </c>
      <c r="C81" s="9" t="s">
        <v>95</v>
      </c>
      <c r="D81" s="8" t="s">
        <v>39</v>
      </c>
      <c r="E81" s="7">
        <v>31.0</v>
      </c>
      <c r="F81" s="7">
        <v>23.0</v>
      </c>
      <c r="G81" s="9">
        <v>36.0</v>
      </c>
      <c r="H81" s="31">
        <v>26.0</v>
      </c>
      <c r="I81" s="31">
        <v>5.831</v>
      </c>
      <c r="J81" s="31" t="s">
        <v>672</v>
      </c>
      <c r="K81" s="11" t="str">
        <f t="shared" si="1"/>
        <v>Floor 3|3_pano</v>
      </c>
      <c r="N81" s="32"/>
      <c r="O81" s="32"/>
      <c r="P81" s="32"/>
      <c r="R81" s="32"/>
      <c r="S81" s="32"/>
    </row>
    <row r="82" ht="22.5" customHeight="1">
      <c r="A82" s="28" t="s">
        <v>673</v>
      </c>
      <c r="B82" s="8" t="s">
        <v>171</v>
      </c>
      <c r="C82" s="9" t="s">
        <v>95</v>
      </c>
      <c r="D82" s="8" t="s">
        <v>39</v>
      </c>
      <c r="E82" s="7">
        <v>31.0</v>
      </c>
      <c r="F82" s="7">
        <v>23.0</v>
      </c>
      <c r="G82" s="9">
        <v>37.0</v>
      </c>
      <c r="H82" s="31">
        <v>27.0</v>
      </c>
      <c r="I82" s="31">
        <v>7.211</v>
      </c>
      <c r="J82" s="31" t="s">
        <v>674</v>
      </c>
      <c r="K82" s="11" t="str">
        <f t="shared" si="1"/>
        <v>Floor 3|3_pano</v>
      </c>
      <c r="N82" s="32"/>
      <c r="O82" s="32"/>
      <c r="P82" s="32"/>
      <c r="R82" s="32"/>
      <c r="S82" s="32"/>
    </row>
    <row r="83" ht="22.5" customHeight="1">
      <c r="A83" s="28" t="s">
        <v>675</v>
      </c>
      <c r="B83" s="8" t="s">
        <v>171</v>
      </c>
      <c r="C83" s="9">
        <v>4.1</v>
      </c>
      <c r="D83" s="8" t="s">
        <v>20</v>
      </c>
      <c r="E83" s="7">
        <v>30.0</v>
      </c>
      <c r="F83" s="7">
        <v>17.0</v>
      </c>
      <c r="G83" s="9">
        <v>44.0</v>
      </c>
      <c r="H83" s="31">
        <v>30.0</v>
      </c>
      <c r="I83" s="31">
        <v>19.105</v>
      </c>
      <c r="J83" s="31" t="s">
        <v>676</v>
      </c>
      <c r="K83" s="11" t="str">
        <f t="shared" si="1"/>
        <v>Floor 3|4.1</v>
      </c>
      <c r="N83" s="32"/>
      <c r="O83" s="32"/>
      <c r="P83" s="32"/>
      <c r="R83" s="32"/>
      <c r="S83" s="32"/>
    </row>
    <row r="84" ht="22.5" customHeight="1">
      <c r="A84" s="28" t="s">
        <v>677</v>
      </c>
      <c r="B84" s="8" t="s">
        <v>171</v>
      </c>
      <c r="C84" s="9">
        <v>4.1</v>
      </c>
      <c r="D84" s="8" t="s">
        <v>20</v>
      </c>
      <c r="E84" s="7">
        <v>30.0</v>
      </c>
      <c r="F84" s="7">
        <v>17.0</v>
      </c>
      <c r="G84" s="9">
        <v>45.0</v>
      </c>
      <c r="H84" s="31">
        <v>30.0</v>
      </c>
      <c r="I84" s="31">
        <v>19.849</v>
      </c>
      <c r="J84" s="31" t="s">
        <v>678</v>
      </c>
      <c r="K84" s="11" t="str">
        <f t="shared" si="1"/>
        <v>Floor 3|4.1</v>
      </c>
      <c r="N84" s="32"/>
      <c r="O84" s="32"/>
      <c r="P84" s="32"/>
      <c r="R84" s="32"/>
      <c r="S84" s="32"/>
    </row>
    <row r="85" ht="22.5" customHeight="1">
      <c r="A85" s="28" t="s">
        <v>679</v>
      </c>
      <c r="B85" s="8" t="s">
        <v>171</v>
      </c>
      <c r="C85" s="9">
        <v>4.1</v>
      </c>
      <c r="D85" s="8" t="s">
        <v>20</v>
      </c>
      <c r="E85" s="7">
        <v>30.0</v>
      </c>
      <c r="F85" s="7">
        <v>17.0</v>
      </c>
      <c r="G85" s="9">
        <v>40.0</v>
      </c>
      <c r="H85" s="31">
        <v>31.0</v>
      </c>
      <c r="I85" s="31">
        <v>17.205</v>
      </c>
      <c r="J85" s="31" t="s">
        <v>680</v>
      </c>
      <c r="K85" s="11" t="str">
        <f t="shared" si="1"/>
        <v>Floor 3|4.1</v>
      </c>
      <c r="N85" s="32"/>
      <c r="O85" s="32"/>
      <c r="P85" s="32"/>
      <c r="R85" s="32"/>
      <c r="S85" s="32"/>
    </row>
    <row r="86" ht="22.5" customHeight="1">
      <c r="A86" s="28" t="s">
        <v>681</v>
      </c>
      <c r="B86" s="8" t="s">
        <v>171</v>
      </c>
      <c r="C86" s="9">
        <v>4.2</v>
      </c>
      <c r="D86" s="8" t="s">
        <v>20</v>
      </c>
      <c r="E86" s="7">
        <v>30.0</v>
      </c>
      <c r="F86" s="7">
        <v>17.0</v>
      </c>
      <c r="G86" s="9">
        <v>20.0</v>
      </c>
      <c r="H86" s="31">
        <v>20.0</v>
      </c>
      <c r="I86" s="31">
        <v>10.44</v>
      </c>
      <c r="J86" s="31" t="s">
        <v>682</v>
      </c>
      <c r="K86" s="11" t="str">
        <f t="shared" si="1"/>
        <v>Floor 3|4.2</v>
      </c>
      <c r="N86" s="32"/>
      <c r="O86" s="32"/>
      <c r="P86" s="32"/>
      <c r="R86" s="32"/>
      <c r="S86" s="32"/>
    </row>
    <row r="87" ht="22.5" customHeight="1">
      <c r="A87" s="28" t="s">
        <v>683</v>
      </c>
      <c r="B87" s="8" t="s">
        <v>171</v>
      </c>
      <c r="C87" s="9">
        <v>4.2</v>
      </c>
      <c r="D87" s="8" t="s">
        <v>20</v>
      </c>
      <c r="E87" s="7">
        <v>30.0</v>
      </c>
      <c r="F87" s="7">
        <v>17.0</v>
      </c>
      <c r="G87" s="9">
        <v>21.0</v>
      </c>
      <c r="H87" s="31">
        <v>20.0</v>
      </c>
      <c r="I87" s="31">
        <v>9.487</v>
      </c>
      <c r="J87" s="31" t="s">
        <v>684</v>
      </c>
      <c r="K87" s="11" t="str">
        <f t="shared" si="1"/>
        <v>Floor 3|4.2</v>
      </c>
      <c r="N87" s="32"/>
      <c r="O87" s="32"/>
      <c r="P87" s="32"/>
      <c r="R87" s="32"/>
      <c r="S87" s="32"/>
    </row>
    <row r="88" ht="22.5" customHeight="1">
      <c r="A88" s="28" t="s">
        <v>685</v>
      </c>
      <c r="B88" s="8" t="s">
        <v>171</v>
      </c>
      <c r="C88" s="9">
        <v>4.2</v>
      </c>
      <c r="D88" s="8" t="s">
        <v>20</v>
      </c>
      <c r="E88" s="7">
        <v>30.0</v>
      </c>
      <c r="F88" s="7">
        <v>17.0</v>
      </c>
      <c r="G88" s="9">
        <v>20.0</v>
      </c>
      <c r="H88" s="31">
        <v>20.0</v>
      </c>
      <c r="I88" s="31">
        <v>10.44</v>
      </c>
      <c r="J88" s="31" t="s">
        <v>686</v>
      </c>
      <c r="K88" s="11" t="str">
        <f t="shared" si="1"/>
        <v>Floor 3|4.2</v>
      </c>
      <c r="N88" s="32"/>
      <c r="O88" s="32"/>
      <c r="P88" s="32"/>
      <c r="R88" s="33"/>
      <c r="S88" s="33"/>
      <c r="T88" s="6" t="s">
        <v>687</v>
      </c>
    </row>
    <row r="89" ht="22.5" customHeight="1">
      <c r="A89" s="28" t="s">
        <v>688</v>
      </c>
      <c r="B89" s="8" t="s">
        <v>171</v>
      </c>
      <c r="C89" s="9" t="s">
        <v>123</v>
      </c>
      <c r="D89" s="8" t="s">
        <v>39</v>
      </c>
      <c r="E89" s="7">
        <v>30.0</v>
      </c>
      <c r="F89" s="7">
        <v>17.0</v>
      </c>
      <c r="G89" s="9">
        <v>24.0</v>
      </c>
      <c r="H89" s="31">
        <v>31.0</v>
      </c>
      <c r="I89" s="31">
        <v>24.739</v>
      </c>
      <c r="J89" s="31" t="s">
        <v>689</v>
      </c>
      <c r="K89" s="11" t="str">
        <f t="shared" si="1"/>
        <v>Floor 3|4.pano</v>
      </c>
      <c r="N89" s="32"/>
      <c r="O89" s="32"/>
      <c r="P89" s="32"/>
      <c r="R89" s="32"/>
      <c r="S89" s="32"/>
    </row>
    <row r="90" ht="22.5" customHeight="1">
      <c r="A90" s="28" t="s">
        <v>690</v>
      </c>
      <c r="B90" s="8" t="s">
        <v>171</v>
      </c>
      <c r="C90" s="9" t="s">
        <v>123</v>
      </c>
      <c r="D90" s="8" t="s">
        <v>39</v>
      </c>
      <c r="E90" s="7">
        <v>30.0</v>
      </c>
      <c r="F90" s="7">
        <v>17.0</v>
      </c>
      <c r="G90" s="9">
        <v>24.0</v>
      </c>
      <c r="H90" s="31">
        <v>42.0</v>
      </c>
      <c r="I90" s="31">
        <v>25.71</v>
      </c>
      <c r="J90" s="31" t="s">
        <v>691</v>
      </c>
      <c r="K90" s="11" t="str">
        <f t="shared" si="1"/>
        <v>Floor 3|4.pano</v>
      </c>
      <c r="N90" s="32"/>
      <c r="O90" s="32"/>
      <c r="P90" s="32"/>
      <c r="R90" s="32"/>
      <c r="S90" s="32"/>
    </row>
    <row r="91" ht="22.5" customHeight="1">
      <c r="A91" s="28" t="s">
        <v>692</v>
      </c>
      <c r="B91" s="8" t="s">
        <v>171</v>
      </c>
      <c r="C91" s="9" t="s">
        <v>123</v>
      </c>
      <c r="D91" s="8" t="s">
        <v>39</v>
      </c>
      <c r="E91" s="7">
        <v>30.0</v>
      </c>
      <c r="F91" s="7">
        <v>17.0</v>
      </c>
      <c r="G91" s="9">
        <v>24.0</v>
      </c>
      <c r="H91" s="31">
        <v>40.0</v>
      </c>
      <c r="I91" s="31">
        <v>23.77</v>
      </c>
      <c r="J91" s="31" t="s">
        <v>693</v>
      </c>
      <c r="K91" s="11" t="str">
        <f t="shared" si="1"/>
        <v>Floor 3|4.pano</v>
      </c>
      <c r="N91" s="32"/>
      <c r="O91" s="32"/>
      <c r="P91" s="32"/>
      <c r="R91" s="32"/>
      <c r="S91" s="32"/>
    </row>
    <row r="92" ht="22.5" customHeight="1">
      <c r="A92" s="28" t="s">
        <v>694</v>
      </c>
      <c r="B92" s="8" t="s">
        <v>171</v>
      </c>
      <c r="C92" s="9">
        <v>5.1</v>
      </c>
      <c r="D92" s="8" t="s">
        <v>20</v>
      </c>
      <c r="E92" s="7">
        <v>40.0</v>
      </c>
      <c r="F92" s="7">
        <v>31.0</v>
      </c>
      <c r="G92" s="9">
        <v>28.0</v>
      </c>
      <c r="H92" s="31">
        <v>38.0</v>
      </c>
      <c r="I92" s="31">
        <v>13.892</v>
      </c>
      <c r="J92" s="31" t="s">
        <v>695</v>
      </c>
      <c r="K92" s="11" t="str">
        <f t="shared" si="1"/>
        <v>Floor 3|5.1</v>
      </c>
      <c r="N92" s="32"/>
      <c r="O92" s="32"/>
      <c r="P92" s="32"/>
      <c r="R92" s="32"/>
      <c r="S92" s="32"/>
    </row>
    <row r="93" ht="22.5" customHeight="1">
      <c r="A93" s="28" t="s">
        <v>696</v>
      </c>
      <c r="B93" s="8" t="s">
        <v>171</v>
      </c>
      <c r="C93" s="9">
        <v>5.1</v>
      </c>
      <c r="D93" s="8" t="s">
        <v>20</v>
      </c>
      <c r="E93" s="7">
        <v>40.0</v>
      </c>
      <c r="F93" s="7">
        <v>31.0</v>
      </c>
      <c r="G93" s="9">
        <v>36.0</v>
      </c>
      <c r="H93" s="31">
        <v>40.0</v>
      </c>
      <c r="I93" s="31">
        <v>9.849</v>
      </c>
      <c r="J93" s="31" t="s">
        <v>697</v>
      </c>
      <c r="K93" s="11" t="str">
        <f t="shared" si="1"/>
        <v>Floor 3|5.1</v>
      </c>
      <c r="N93" s="32"/>
      <c r="O93" s="32"/>
      <c r="P93" s="32"/>
      <c r="R93" s="32"/>
      <c r="S93" s="32"/>
    </row>
    <row r="94" ht="22.5" customHeight="1">
      <c r="A94" s="28" t="s">
        <v>698</v>
      </c>
      <c r="B94" s="8" t="s">
        <v>171</v>
      </c>
      <c r="C94" s="9">
        <v>5.1</v>
      </c>
      <c r="D94" s="8" t="s">
        <v>20</v>
      </c>
      <c r="E94" s="7">
        <v>40.0</v>
      </c>
      <c r="F94" s="7">
        <v>31.0</v>
      </c>
      <c r="G94" s="9">
        <v>31.0</v>
      </c>
      <c r="H94" s="31">
        <v>38.0</v>
      </c>
      <c r="I94" s="31">
        <v>11.402</v>
      </c>
      <c r="J94" s="31" t="s">
        <v>699</v>
      </c>
      <c r="K94" s="11" t="str">
        <f t="shared" si="1"/>
        <v>Floor 3|5.1</v>
      </c>
      <c r="N94" s="32"/>
      <c r="O94" s="32"/>
      <c r="P94" s="32"/>
      <c r="R94" s="32"/>
      <c r="S94" s="32"/>
    </row>
    <row r="95" ht="22.5" customHeight="1">
      <c r="A95" s="28" t="s">
        <v>700</v>
      </c>
      <c r="B95" s="8" t="s">
        <v>171</v>
      </c>
      <c r="C95" s="9">
        <v>5.2</v>
      </c>
      <c r="D95" s="8" t="s">
        <v>20</v>
      </c>
      <c r="E95" s="7">
        <v>40.0</v>
      </c>
      <c r="F95" s="7">
        <v>31.0</v>
      </c>
      <c r="G95" s="9">
        <v>38.0</v>
      </c>
      <c r="H95" s="31">
        <v>26.0</v>
      </c>
      <c r="I95" s="31">
        <v>5.385</v>
      </c>
      <c r="J95" s="31" t="s">
        <v>701</v>
      </c>
      <c r="K95" s="11" t="str">
        <f t="shared" si="1"/>
        <v>Floor 3|5.2</v>
      </c>
      <c r="N95" s="32"/>
      <c r="O95" s="32"/>
      <c r="P95" s="32"/>
      <c r="R95" s="32"/>
      <c r="S95" s="32"/>
    </row>
    <row r="96" ht="22.5" customHeight="1">
      <c r="A96" s="28" t="s">
        <v>702</v>
      </c>
      <c r="B96" s="8" t="s">
        <v>171</v>
      </c>
      <c r="C96" s="9">
        <v>5.2</v>
      </c>
      <c r="D96" s="8" t="s">
        <v>20</v>
      </c>
      <c r="E96" s="7">
        <v>40.0</v>
      </c>
      <c r="F96" s="7">
        <v>31.0</v>
      </c>
      <c r="G96" s="9">
        <v>38.0</v>
      </c>
      <c r="H96" s="31">
        <v>27.0</v>
      </c>
      <c r="I96" s="31">
        <v>4.472</v>
      </c>
      <c r="J96" s="31" t="s">
        <v>703</v>
      </c>
      <c r="K96" s="11" t="str">
        <f t="shared" si="1"/>
        <v>Floor 3|5.2</v>
      </c>
      <c r="N96" s="32"/>
      <c r="O96" s="32"/>
      <c r="P96" s="32"/>
      <c r="R96" s="32"/>
      <c r="S96" s="32"/>
    </row>
    <row r="97" ht="22.5" customHeight="1">
      <c r="A97" s="28" t="s">
        <v>704</v>
      </c>
      <c r="B97" s="8" t="s">
        <v>171</v>
      </c>
      <c r="C97" s="9">
        <v>5.2</v>
      </c>
      <c r="D97" s="8" t="s">
        <v>20</v>
      </c>
      <c r="E97" s="7">
        <v>40.0</v>
      </c>
      <c r="F97" s="7">
        <v>31.0</v>
      </c>
      <c r="G97" s="9">
        <v>35.0</v>
      </c>
      <c r="H97" s="31">
        <v>28.0</v>
      </c>
      <c r="I97" s="31">
        <v>5.831</v>
      </c>
      <c r="J97" s="31" t="s">
        <v>705</v>
      </c>
      <c r="K97" s="11" t="str">
        <f t="shared" si="1"/>
        <v>Floor 3|5.2</v>
      </c>
      <c r="N97" s="32"/>
      <c r="O97" s="32"/>
      <c r="P97" s="32"/>
      <c r="R97" s="32"/>
      <c r="S97" s="32"/>
    </row>
    <row r="98" ht="22.5" customHeight="1">
      <c r="A98" s="28" t="s">
        <v>706</v>
      </c>
      <c r="B98" s="8" t="s">
        <v>171</v>
      </c>
      <c r="C98" s="9" t="s">
        <v>145</v>
      </c>
      <c r="D98" s="8" t="s">
        <v>39</v>
      </c>
      <c r="E98" s="7">
        <v>40.0</v>
      </c>
      <c r="F98" s="7">
        <v>31.0</v>
      </c>
      <c r="G98" s="9">
        <v>35.0</v>
      </c>
      <c r="H98" s="31">
        <v>30.0</v>
      </c>
      <c r="I98" s="31">
        <v>5.099</v>
      </c>
      <c r="J98" s="31" t="s">
        <v>707</v>
      </c>
      <c r="K98" s="11" t="str">
        <f t="shared" si="1"/>
        <v>Floor 3|5.pano</v>
      </c>
      <c r="N98" s="32"/>
      <c r="O98" s="32"/>
      <c r="P98" s="32"/>
      <c r="R98" s="32"/>
      <c r="S98" s="32"/>
    </row>
    <row r="99" ht="22.5" customHeight="1">
      <c r="A99" s="28" t="s">
        <v>708</v>
      </c>
      <c r="B99" s="8" t="s">
        <v>171</v>
      </c>
      <c r="C99" s="9" t="s">
        <v>145</v>
      </c>
      <c r="D99" s="8" t="s">
        <v>39</v>
      </c>
      <c r="E99" s="7">
        <v>40.0</v>
      </c>
      <c r="F99" s="7">
        <v>31.0</v>
      </c>
      <c r="G99" s="9">
        <v>37.0</v>
      </c>
      <c r="H99" s="31">
        <v>21.0</v>
      </c>
      <c r="I99" s="31">
        <v>10.44</v>
      </c>
      <c r="J99" s="31" t="s">
        <v>709</v>
      </c>
      <c r="K99" s="11" t="str">
        <f t="shared" si="1"/>
        <v>Floor 3|5.pano</v>
      </c>
      <c r="N99" s="32"/>
      <c r="O99" s="32"/>
      <c r="P99" s="32"/>
      <c r="R99" s="32"/>
      <c r="S99" s="32"/>
    </row>
    <row r="100" ht="22.5" customHeight="1">
      <c r="A100" s="28" t="s">
        <v>710</v>
      </c>
      <c r="B100" s="8" t="s">
        <v>171</v>
      </c>
      <c r="C100" s="9" t="s">
        <v>145</v>
      </c>
      <c r="D100" s="8" t="s">
        <v>39</v>
      </c>
      <c r="E100" s="7">
        <v>40.0</v>
      </c>
      <c r="F100" s="7">
        <v>31.0</v>
      </c>
      <c r="G100" s="9">
        <v>35.0</v>
      </c>
      <c r="H100" s="31">
        <v>30.0</v>
      </c>
      <c r="I100" s="31">
        <v>5.099</v>
      </c>
      <c r="J100" s="31" t="s">
        <v>711</v>
      </c>
      <c r="K100" s="11" t="str">
        <f t="shared" si="1"/>
        <v>Floor 3|5.pano</v>
      </c>
      <c r="N100" s="32"/>
      <c r="O100" s="32"/>
      <c r="P100" s="32"/>
      <c r="R100" s="32"/>
      <c r="S100" s="32"/>
    </row>
    <row r="101" ht="22.5" customHeight="1">
      <c r="A101" s="28" t="s">
        <v>712</v>
      </c>
      <c r="B101" s="8" t="s">
        <v>171</v>
      </c>
      <c r="C101" s="9">
        <v>6.1</v>
      </c>
      <c r="D101" s="8" t="s">
        <v>20</v>
      </c>
      <c r="E101" s="7">
        <v>48.0</v>
      </c>
      <c r="F101" s="7">
        <v>25.0</v>
      </c>
      <c r="G101" s="9">
        <v>39.0</v>
      </c>
      <c r="H101" s="31">
        <v>20.0</v>
      </c>
      <c r="I101" s="31">
        <v>10.296</v>
      </c>
      <c r="J101" s="31" t="s">
        <v>713</v>
      </c>
      <c r="K101" s="11" t="str">
        <f t="shared" si="1"/>
        <v>Floor 3|6.1</v>
      </c>
      <c r="N101" s="32"/>
      <c r="O101" s="32"/>
      <c r="P101" s="32"/>
      <c r="R101" s="32"/>
      <c r="S101" s="32"/>
    </row>
    <row r="102" ht="22.5" customHeight="1">
      <c r="A102" s="28" t="s">
        <v>714</v>
      </c>
      <c r="B102" s="8" t="s">
        <v>171</v>
      </c>
      <c r="C102" s="9">
        <v>6.1</v>
      </c>
      <c r="D102" s="8" t="s">
        <v>20</v>
      </c>
      <c r="E102" s="7">
        <v>48.0</v>
      </c>
      <c r="F102" s="7">
        <v>25.0</v>
      </c>
      <c r="G102" s="9">
        <v>38.0</v>
      </c>
      <c r="H102" s="31">
        <v>21.0</v>
      </c>
      <c r="I102" s="31">
        <v>10.77</v>
      </c>
      <c r="J102" s="31" t="s">
        <v>715</v>
      </c>
      <c r="K102" s="11" t="str">
        <f t="shared" si="1"/>
        <v>Floor 3|6.1</v>
      </c>
      <c r="N102" s="32"/>
      <c r="O102" s="32"/>
      <c r="P102" s="32"/>
      <c r="R102" s="32"/>
      <c r="S102" s="32"/>
    </row>
    <row r="103" ht="22.5" customHeight="1">
      <c r="A103" s="28" t="s">
        <v>716</v>
      </c>
      <c r="B103" s="8" t="s">
        <v>171</v>
      </c>
      <c r="C103" s="9">
        <v>6.1</v>
      </c>
      <c r="D103" s="8" t="s">
        <v>20</v>
      </c>
      <c r="E103" s="7">
        <v>48.0</v>
      </c>
      <c r="F103" s="7">
        <v>25.0</v>
      </c>
      <c r="G103" s="9">
        <v>39.0</v>
      </c>
      <c r="H103" s="31">
        <v>22.0</v>
      </c>
      <c r="I103" s="31">
        <v>9.487</v>
      </c>
      <c r="J103" s="31" t="s">
        <v>717</v>
      </c>
      <c r="K103" s="11" t="str">
        <f t="shared" si="1"/>
        <v>Floor 3|6.1</v>
      </c>
      <c r="N103" s="32"/>
      <c r="O103" s="32"/>
      <c r="P103" s="32"/>
      <c r="R103" s="32"/>
      <c r="S103" s="32"/>
    </row>
    <row r="104" ht="22.5" customHeight="1">
      <c r="A104" s="28" t="s">
        <v>718</v>
      </c>
      <c r="B104" s="8" t="s">
        <v>171</v>
      </c>
      <c r="C104" s="9">
        <v>6.2</v>
      </c>
      <c r="D104" s="8" t="s">
        <v>20</v>
      </c>
      <c r="E104" s="7">
        <v>48.0</v>
      </c>
      <c r="F104" s="7">
        <v>25.0</v>
      </c>
      <c r="G104" s="9">
        <v>38.0</v>
      </c>
      <c r="H104" s="31">
        <v>22.0</v>
      </c>
      <c r="I104" s="31">
        <v>10.44</v>
      </c>
      <c r="J104" s="31" t="s">
        <v>719</v>
      </c>
      <c r="K104" s="11" t="str">
        <f t="shared" si="1"/>
        <v>Floor 3|6.2</v>
      </c>
      <c r="N104" s="32"/>
      <c r="O104" s="32"/>
      <c r="P104" s="32"/>
      <c r="R104" s="32"/>
      <c r="S104" s="32"/>
    </row>
    <row r="105" ht="22.5" customHeight="1">
      <c r="A105" s="28" t="s">
        <v>720</v>
      </c>
      <c r="B105" s="8" t="s">
        <v>171</v>
      </c>
      <c r="C105" s="9">
        <v>6.2</v>
      </c>
      <c r="D105" s="8" t="s">
        <v>20</v>
      </c>
      <c r="E105" s="7">
        <v>48.0</v>
      </c>
      <c r="F105" s="7">
        <v>25.0</v>
      </c>
      <c r="G105" s="9">
        <v>38.0</v>
      </c>
      <c r="H105" s="31">
        <v>21.0</v>
      </c>
      <c r="I105" s="31">
        <v>10.77</v>
      </c>
      <c r="J105" s="31" t="s">
        <v>721</v>
      </c>
      <c r="K105" s="11" t="str">
        <f t="shared" si="1"/>
        <v>Floor 3|6.2</v>
      </c>
      <c r="N105" s="32"/>
      <c r="O105" s="32"/>
      <c r="P105" s="32"/>
      <c r="R105" s="32"/>
      <c r="S105" s="32"/>
    </row>
    <row r="106" ht="22.5" customHeight="1">
      <c r="A106" s="28" t="s">
        <v>722</v>
      </c>
      <c r="B106" s="8" t="s">
        <v>171</v>
      </c>
      <c r="C106" s="9">
        <v>6.2</v>
      </c>
      <c r="D106" s="8" t="s">
        <v>20</v>
      </c>
      <c r="E106" s="7">
        <v>48.0</v>
      </c>
      <c r="F106" s="7">
        <v>25.0</v>
      </c>
      <c r="G106" s="9">
        <v>38.0</v>
      </c>
      <c r="H106" s="31">
        <v>21.0</v>
      </c>
      <c r="I106" s="31">
        <v>10.77</v>
      </c>
      <c r="J106" s="31" t="s">
        <v>723</v>
      </c>
      <c r="K106" s="11" t="str">
        <f t="shared" si="1"/>
        <v>Floor 3|6.2</v>
      </c>
      <c r="N106" s="32"/>
      <c r="O106" s="32"/>
      <c r="P106" s="32"/>
      <c r="R106" s="32"/>
      <c r="S106" s="32"/>
    </row>
    <row r="107" ht="22.5" customHeight="1">
      <c r="A107" s="28" t="s">
        <v>724</v>
      </c>
      <c r="B107" s="8" t="s">
        <v>171</v>
      </c>
      <c r="C107" s="9" t="s">
        <v>164</v>
      </c>
      <c r="D107" s="8" t="s">
        <v>39</v>
      </c>
      <c r="E107" s="7">
        <v>48.0</v>
      </c>
      <c r="F107" s="7">
        <v>25.0</v>
      </c>
      <c r="G107" s="9">
        <v>39.0</v>
      </c>
      <c r="H107" s="31">
        <v>21.0</v>
      </c>
      <c r="I107" s="31">
        <v>9.849</v>
      </c>
      <c r="J107" s="31" t="s">
        <v>725</v>
      </c>
      <c r="K107" s="11" t="str">
        <f t="shared" si="1"/>
        <v>Floor 3|6_pano</v>
      </c>
      <c r="N107" s="32"/>
      <c r="O107" s="32"/>
      <c r="P107" s="32"/>
      <c r="R107" s="32"/>
      <c r="S107" s="32"/>
    </row>
    <row r="108" ht="22.5" customHeight="1">
      <c r="A108" s="28" t="s">
        <v>726</v>
      </c>
      <c r="B108" s="8" t="s">
        <v>171</v>
      </c>
      <c r="C108" s="9" t="s">
        <v>164</v>
      </c>
      <c r="D108" s="8" t="s">
        <v>39</v>
      </c>
      <c r="E108" s="7">
        <v>48.0</v>
      </c>
      <c r="F108" s="7">
        <v>25.0</v>
      </c>
      <c r="G108" s="9">
        <v>39.0</v>
      </c>
      <c r="H108" s="31">
        <v>20.0</v>
      </c>
      <c r="I108" s="31">
        <v>10.296</v>
      </c>
      <c r="J108" s="31" t="s">
        <v>727</v>
      </c>
      <c r="K108" s="11" t="str">
        <f t="shared" si="1"/>
        <v>Floor 3|6_pano</v>
      </c>
      <c r="N108" s="32"/>
      <c r="O108" s="32"/>
      <c r="P108" s="32"/>
      <c r="R108" s="32"/>
      <c r="S108" s="32"/>
    </row>
    <row r="109" ht="22.5" customHeight="1">
      <c r="A109" s="28" t="s">
        <v>728</v>
      </c>
      <c r="B109" s="8" t="s">
        <v>171</v>
      </c>
      <c r="C109" s="9" t="s">
        <v>164</v>
      </c>
      <c r="D109" s="8" t="s">
        <v>39</v>
      </c>
      <c r="E109" s="7">
        <v>48.0</v>
      </c>
      <c r="F109" s="7">
        <v>25.0</v>
      </c>
      <c r="G109" s="9">
        <v>38.0</v>
      </c>
      <c r="H109" s="31">
        <v>20.0</v>
      </c>
      <c r="I109" s="31">
        <v>11.18</v>
      </c>
      <c r="J109" s="31" t="s">
        <v>729</v>
      </c>
      <c r="K109" s="11" t="str">
        <f t="shared" si="1"/>
        <v>Floor 3|6_pano</v>
      </c>
      <c r="N109" s="32"/>
      <c r="O109" s="32"/>
      <c r="P109" s="32"/>
      <c r="R109" s="32"/>
      <c r="S109" s="32"/>
    </row>
  </sheetData>
  <dataValidations>
    <dataValidation type="list" allowBlank="1" sqref="B2:B109">
      <formula1>"Floor 3,Floor 5"</formula1>
    </dataValidation>
    <dataValidation type="list" allowBlank="1" sqref="D2:D109">
      <formula1>"Wide,Panorama"</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34" t="s">
        <v>0</v>
      </c>
      <c r="B1" s="35" t="s">
        <v>1</v>
      </c>
      <c r="C1" s="35" t="s">
        <v>730</v>
      </c>
      <c r="D1" s="35" t="s">
        <v>4</v>
      </c>
      <c r="E1" s="35" t="s">
        <v>5</v>
      </c>
      <c r="F1" s="35" t="s">
        <v>6</v>
      </c>
      <c r="G1" s="35" t="s">
        <v>7</v>
      </c>
      <c r="H1" s="36" t="s">
        <v>8</v>
      </c>
      <c r="I1" s="36" t="s">
        <v>9</v>
      </c>
      <c r="J1" s="37" t="s">
        <v>289</v>
      </c>
    </row>
    <row r="2" ht="22.5" customHeight="1">
      <c r="A2" s="7" t="s">
        <v>731</v>
      </c>
      <c r="B2" s="38" t="s">
        <v>19</v>
      </c>
      <c r="C2" s="36">
        <v>1.0</v>
      </c>
      <c r="D2" s="7">
        <v>39.0</v>
      </c>
      <c r="E2" s="7">
        <v>15.0</v>
      </c>
      <c r="F2" s="36">
        <v>36.0</v>
      </c>
      <c r="G2" s="36">
        <v>16.0</v>
      </c>
      <c r="H2" s="36">
        <v>3.162</v>
      </c>
      <c r="I2" s="39" t="s">
        <v>732</v>
      </c>
      <c r="J2" s="40"/>
    </row>
    <row r="3" ht="22.5" customHeight="1">
      <c r="A3" s="7" t="s">
        <v>733</v>
      </c>
      <c r="B3" s="41" t="s">
        <v>19</v>
      </c>
      <c r="C3" s="37">
        <v>1.0</v>
      </c>
      <c r="D3" s="7">
        <v>39.0</v>
      </c>
      <c r="E3" s="7">
        <v>15.0</v>
      </c>
      <c r="F3" s="37">
        <v>37.0</v>
      </c>
      <c r="G3" s="37">
        <v>23.0</v>
      </c>
      <c r="H3" s="37">
        <v>8.246</v>
      </c>
      <c r="I3" s="37" t="s">
        <v>734</v>
      </c>
      <c r="J3" s="37" t="s">
        <v>735</v>
      </c>
    </row>
    <row r="4" ht="22.5" customHeight="1">
      <c r="A4" s="7" t="s">
        <v>736</v>
      </c>
      <c r="B4" s="41" t="s">
        <v>19</v>
      </c>
      <c r="C4" s="37">
        <v>1.0</v>
      </c>
      <c r="D4" s="7">
        <v>39.0</v>
      </c>
      <c r="E4" s="7">
        <v>15.0</v>
      </c>
      <c r="F4" s="37">
        <v>37.0</v>
      </c>
      <c r="G4" s="37">
        <v>17.0</v>
      </c>
      <c r="H4" s="37">
        <v>2.828</v>
      </c>
      <c r="I4" s="37" t="s">
        <v>737</v>
      </c>
      <c r="J4" s="42"/>
    </row>
    <row r="5" ht="22.5" customHeight="1">
      <c r="A5" s="7" t="s">
        <v>738</v>
      </c>
      <c r="B5" s="41" t="s">
        <v>19</v>
      </c>
      <c r="C5" s="37">
        <v>2.0</v>
      </c>
      <c r="D5" s="7">
        <v>44.0</v>
      </c>
      <c r="E5" s="7">
        <v>16.0</v>
      </c>
      <c r="F5" s="37">
        <v>45.0</v>
      </c>
      <c r="G5" s="37">
        <v>15.0</v>
      </c>
      <c r="H5" s="37">
        <v>1.0</v>
      </c>
      <c r="I5" s="37" t="s">
        <v>739</v>
      </c>
      <c r="J5" s="42"/>
    </row>
    <row r="6" ht="22.5" customHeight="1">
      <c r="A6" s="7" t="s">
        <v>740</v>
      </c>
      <c r="B6" s="41" t="s">
        <v>19</v>
      </c>
      <c r="C6" s="37">
        <v>2.0</v>
      </c>
      <c r="D6" s="7">
        <v>44.0</v>
      </c>
      <c r="E6" s="7">
        <v>16.0</v>
      </c>
      <c r="F6" s="37">
        <v>44.0</v>
      </c>
      <c r="G6" s="37">
        <v>20.0</v>
      </c>
      <c r="H6" s="37">
        <v>4.0</v>
      </c>
      <c r="I6" s="37" t="s">
        <v>741</v>
      </c>
      <c r="J6" s="42"/>
    </row>
    <row r="7" ht="22.5" customHeight="1">
      <c r="A7" s="7" t="s">
        <v>742</v>
      </c>
      <c r="B7" s="41" t="s">
        <v>19</v>
      </c>
      <c r="C7" s="37">
        <v>2.0</v>
      </c>
      <c r="D7" s="7">
        <v>44.0</v>
      </c>
      <c r="E7" s="7">
        <v>16.0</v>
      </c>
      <c r="F7" s="37">
        <v>45.0</v>
      </c>
      <c r="G7" s="37">
        <v>16.0</v>
      </c>
      <c r="H7" s="37">
        <v>1.0</v>
      </c>
      <c r="I7" s="37" t="s">
        <v>743</v>
      </c>
      <c r="J7" s="42"/>
    </row>
    <row r="8" ht="22.5" customHeight="1">
      <c r="A8" s="7" t="s">
        <v>744</v>
      </c>
      <c r="B8" s="41" t="s">
        <v>19</v>
      </c>
      <c r="C8" s="37">
        <v>3.0</v>
      </c>
      <c r="D8" s="7">
        <v>39.0</v>
      </c>
      <c r="E8" s="7">
        <v>22.0</v>
      </c>
      <c r="F8" s="37">
        <v>36.0</v>
      </c>
      <c r="G8" s="37">
        <v>23.0</v>
      </c>
      <c r="H8" s="37">
        <v>3.162</v>
      </c>
      <c r="I8" s="37" t="s">
        <v>745</v>
      </c>
      <c r="J8" s="42"/>
    </row>
    <row r="9" ht="22.5" customHeight="1">
      <c r="A9" s="7" t="s">
        <v>746</v>
      </c>
      <c r="B9" s="41" t="s">
        <v>19</v>
      </c>
      <c r="C9" s="37">
        <v>3.0</v>
      </c>
      <c r="D9" s="7">
        <v>39.0</v>
      </c>
      <c r="E9" s="7">
        <v>22.0</v>
      </c>
      <c r="F9" s="37">
        <v>34.0</v>
      </c>
      <c r="G9" s="37">
        <v>22.0</v>
      </c>
      <c r="H9" s="37">
        <v>5.0</v>
      </c>
      <c r="I9" s="37" t="s">
        <v>747</v>
      </c>
      <c r="J9" s="42"/>
    </row>
    <row r="10" ht="22.5" customHeight="1">
      <c r="A10" s="7" t="s">
        <v>748</v>
      </c>
      <c r="B10" s="41" t="s">
        <v>19</v>
      </c>
      <c r="C10" s="37">
        <v>3.0</v>
      </c>
      <c r="D10" s="7">
        <v>39.0</v>
      </c>
      <c r="E10" s="7">
        <v>22.0</v>
      </c>
      <c r="F10" s="37">
        <v>36.0</v>
      </c>
      <c r="G10" s="37">
        <v>23.0</v>
      </c>
      <c r="H10" s="37">
        <v>3.162</v>
      </c>
      <c r="I10" s="37" t="s">
        <v>749</v>
      </c>
      <c r="J10" s="42"/>
    </row>
    <row r="11" ht="22.5" customHeight="1">
      <c r="A11" s="7" t="s">
        <v>750</v>
      </c>
      <c r="B11" s="41" t="s">
        <v>19</v>
      </c>
      <c r="C11" s="37">
        <v>4.0</v>
      </c>
      <c r="D11" s="7">
        <v>42.0</v>
      </c>
      <c r="E11" s="7">
        <v>29.0</v>
      </c>
      <c r="F11" s="37">
        <v>32.0</v>
      </c>
      <c r="G11" s="37">
        <v>12.0</v>
      </c>
      <c r="H11" s="37">
        <v>19.723</v>
      </c>
      <c r="I11" s="37" t="s">
        <v>751</v>
      </c>
      <c r="J11" s="37" t="s">
        <v>752</v>
      </c>
    </row>
    <row r="12" ht="22.5" customHeight="1">
      <c r="A12" s="7" t="s">
        <v>753</v>
      </c>
      <c r="B12" s="41" t="s">
        <v>19</v>
      </c>
      <c r="C12" s="37">
        <v>4.0</v>
      </c>
      <c r="D12" s="7">
        <v>42.0</v>
      </c>
      <c r="E12" s="7">
        <v>29.0</v>
      </c>
      <c r="F12" s="37">
        <v>35.0</v>
      </c>
      <c r="G12" s="37">
        <v>12.0</v>
      </c>
      <c r="H12" s="37">
        <v>18.385</v>
      </c>
      <c r="I12" s="37" t="s">
        <v>754</v>
      </c>
      <c r="J12" s="42"/>
    </row>
    <row r="13" ht="22.5" customHeight="1">
      <c r="A13" s="7" t="s">
        <v>755</v>
      </c>
      <c r="B13" s="41" t="s">
        <v>19</v>
      </c>
      <c r="C13" s="37">
        <v>4.0</v>
      </c>
      <c r="D13" s="7">
        <v>42.0</v>
      </c>
      <c r="E13" s="7">
        <v>29.0</v>
      </c>
      <c r="F13" s="37">
        <v>32.0</v>
      </c>
      <c r="G13" s="37">
        <v>11.0</v>
      </c>
      <c r="H13" s="37">
        <v>20.591</v>
      </c>
      <c r="I13" s="37" t="s">
        <v>756</v>
      </c>
      <c r="J13" s="42"/>
    </row>
    <row r="14" ht="22.5" customHeight="1">
      <c r="A14" s="7" t="s">
        <v>757</v>
      </c>
      <c r="B14" s="41" t="s">
        <v>19</v>
      </c>
      <c r="C14" s="37">
        <v>5.0</v>
      </c>
      <c r="D14" s="7">
        <v>46.0</v>
      </c>
      <c r="E14" s="7">
        <v>30.0</v>
      </c>
      <c r="F14" s="37">
        <v>43.0</v>
      </c>
      <c r="G14" s="37">
        <v>31.0</v>
      </c>
      <c r="H14" s="37">
        <v>3.162</v>
      </c>
      <c r="I14" s="37" t="s">
        <v>758</v>
      </c>
      <c r="J14" s="42"/>
    </row>
    <row r="15" ht="22.5" customHeight="1">
      <c r="A15" s="7" t="s">
        <v>759</v>
      </c>
      <c r="B15" s="41" t="s">
        <v>19</v>
      </c>
      <c r="C15" s="37">
        <v>5.0</v>
      </c>
      <c r="D15" s="7">
        <v>46.0</v>
      </c>
      <c r="E15" s="7">
        <v>30.0</v>
      </c>
      <c r="F15" s="37">
        <v>43.0</v>
      </c>
      <c r="G15" s="37">
        <v>30.0</v>
      </c>
      <c r="H15" s="37">
        <v>3.0</v>
      </c>
      <c r="I15" s="37" t="s">
        <v>760</v>
      </c>
      <c r="J15" s="42"/>
    </row>
    <row r="16" ht="22.5" customHeight="1">
      <c r="A16" s="7" t="s">
        <v>761</v>
      </c>
      <c r="B16" s="41" t="s">
        <v>19</v>
      </c>
      <c r="C16" s="37">
        <v>5.0</v>
      </c>
      <c r="D16" s="7">
        <v>46.0</v>
      </c>
      <c r="E16" s="7">
        <v>30.0</v>
      </c>
      <c r="F16" s="37">
        <v>44.0</v>
      </c>
      <c r="G16" s="37">
        <v>30.0</v>
      </c>
      <c r="H16" s="37">
        <v>2.0</v>
      </c>
      <c r="I16" s="37" t="s">
        <v>762</v>
      </c>
      <c r="J16" s="42"/>
    </row>
    <row r="17" ht="22.5" customHeight="1">
      <c r="A17" s="7" t="s">
        <v>763</v>
      </c>
      <c r="B17" s="41" t="s">
        <v>19</v>
      </c>
      <c r="C17" s="37">
        <v>6.0</v>
      </c>
      <c r="D17" s="7">
        <v>48.0</v>
      </c>
      <c r="E17" s="7">
        <v>27.0</v>
      </c>
      <c r="F17" s="37">
        <v>42.0</v>
      </c>
      <c r="G17" s="37">
        <v>31.0</v>
      </c>
      <c r="H17" s="37">
        <v>7.211</v>
      </c>
      <c r="I17" s="37" t="s">
        <v>764</v>
      </c>
      <c r="J17" s="37" t="s">
        <v>765</v>
      </c>
    </row>
    <row r="18" ht="22.5" customHeight="1">
      <c r="A18" s="7" t="s">
        <v>766</v>
      </c>
      <c r="B18" s="41" t="s">
        <v>19</v>
      </c>
      <c r="C18" s="37">
        <v>6.0</v>
      </c>
      <c r="D18" s="7">
        <v>48.0</v>
      </c>
      <c r="E18" s="7">
        <v>27.0</v>
      </c>
      <c r="F18" s="37">
        <v>44.0</v>
      </c>
      <c r="G18" s="37">
        <v>30.0</v>
      </c>
      <c r="H18" s="37">
        <v>5.0</v>
      </c>
      <c r="I18" s="37" t="s">
        <v>767</v>
      </c>
      <c r="J18" s="37" t="s">
        <v>768</v>
      </c>
    </row>
    <row r="19" ht="22.5" customHeight="1">
      <c r="A19" s="7" t="s">
        <v>769</v>
      </c>
      <c r="B19" s="41" t="s">
        <v>19</v>
      </c>
      <c r="C19" s="37">
        <v>6.0</v>
      </c>
      <c r="D19" s="7">
        <v>48.0</v>
      </c>
      <c r="E19" s="7">
        <v>27.0</v>
      </c>
      <c r="F19" s="37">
        <v>42.0</v>
      </c>
      <c r="G19" s="37">
        <v>31.0</v>
      </c>
      <c r="H19" s="37">
        <v>7.211</v>
      </c>
      <c r="I19" s="37" t="s">
        <v>770</v>
      </c>
      <c r="J19" s="42"/>
    </row>
    <row r="20" ht="22.5" customHeight="1">
      <c r="A20" s="7" t="s">
        <v>771</v>
      </c>
      <c r="B20" s="41" t="s">
        <v>171</v>
      </c>
      <c r="C20" s="37">
        <v>1.0</v>
      </c>
      <c r="D20" s="7">
        <v>30.0</v>
      </c>
      <c r="E20" s="7">
        <v>10.0</v>
      </c>
      <c r="F20" s="37">
        <v>17.0</v>
      </c>
      <c r="G20" s="37">
        <v>41.0</v>
      </c>
      <c r="H20" s="37">
        <v>33.615</v>
      </c>
      <c r="I20" s="37" t="s">
        <v>772</v>
      </c>
      <c r="J20" s="42"/>
    </row>
    <row r="21" ht="22.5" customHeight="1">
      <c r="A21" s="7" t="s">
        <v>773</v>
      </c>
      <c r="B21" s="41" t="s">
        <v>171</v>
      </c>
      <c r="C21" s="37">
        <v>1.0</v>
      </c>
      <c r="D21" s="7">
        <v>30.0</v>
      </c>
      <c r="E21" s="7">
        <v>10.0</v>
      </c>
      <c r="F21" s="37">
        <v>22.0</v>
      </c>
      <c r="G21" s="37">
        <v>38.0</v>
      </c>
      <c r="H21" s="37">
        <v>29.12</v>
      </c>
      <c r="I21" s="37" t="s">
        <v>774</v>
      </c>
      <c r="J21" s="42"/>
    </row>
    <row r="22" ht="22.5" customHeight="1">
      <c r="A22" s="7" t="s">
        <v>775</v>
      </c>
      <c r="B22" s="41" t="s">
        <v>171</v>
      </c>
      <c r="C22" s="37">
        <v>1.0</v>
      </c>
      <c r="D22" s="7">
        <v>30.0</v>
      </c>
      <c r="E22" s="7">
        <v>10.0</v>
      </c>
      <c r="F22" s="37">
        <v>21.0</v>
      </c>
      <c r="G22" s="37">
        <v>40.0</v>
      </c>
      <c r="H22" s="37">
        <v>31.321</v>
      </c>
      <c r="I22" s="37" t="s">
        <v>776</v>
      </c>
      <c r="J22" s="42"/>
    </row>
    <row r="23" ht="22.5" customHeight="1">
      <c r="A23" s="7" t="s">
        <v>777</v>
      </c>
      <c r="B23" s="41" t="s">
        <v>171</v>
      </c>
      <c r="C23" s="37">
        <v>2.0</v>
      </c>
      <c r="D23" s="7">
        <v>40.0</v>
      </c>
      <c r="E23" s="7">
        <v>18.0</v>
      </c>
      <c r="F23" s="37">
        <v>39.0</v>
      </c>
      <c r="G23" s="37">
        <v>23.0</v>
      </c>
      <c r="H23" s="37">
        <v>5.099</v>
      </c>
      <c r="I23" s="37" t="s">
        <v>778</v>
      </c>
      <c r="J23" s="42"/>
    </row>
    <row r="24" ht="22.5" customHeight="1">
      <c r="A24" s="7" t="s">
        <v>779</v>
      </c>
      <c r="B24" s="41" t="s">
        <v>171</v>
      </c>
      <c r="C24" s="37">
        <v>2.0</v>
      </c>
      <c r="D24" s="7">
        <v>40.0</v>
      </c>
      <c r="E24" s="7">
        <v>18.0</v>
      </c>
      <c r="F24" s="37">
        <v>39.0</v>
      </c>
      <c r="G24" s="37">
        <v>23.0</v>
      </c>
      <c r="H24" s="37">
        <v>5.099</v>
      </c>
      <c r="I24" s="37" t="s">
        <v>780</v>
      </c>
      <c r="J24" s="42"/>
    </row>
    <row r="25" ht="22.5" customHeight="1">
      <c r="A25" s="7" t="s">
        <v>781</v>
      </c>
      <c r="B25" s="41" t="s">
        <v>171</v>
      </c>
      <c r="C25" s="37">
        <v>2.0</v>
      </c>
      <c r="D25" s="7">
        <v>40.0</v>
      </c>
      <c r="E25" s="7">
        <v>18.0</v>
      </c>
      <c r="F25" s="37">
        <v>39.0</v>
      </c>
      <c r="G25" s="37">
        <v>23.0</v>
      </c>
      <c r="H25" s="37">
        <v>5.099</v>
      </c>
      <c r="I25" s="37" t="s">
        <v>782</v>
      </c>
      <c r="J25" s="42"/>
    </row>
    <row r="26" ht="22.5" customHeight="1">
      <c r="A26" s="7" t="s">
        <v>783</v>
      </c>
      <c r="B26" s="41" t="s">
        <v>171</v>
      </c>
      <c r="C26" s="37">
        <v>3.0</v>
      </c>
      <c r="D26" s="7">
        <v>31.0</v>
      </c>
      <c r="E26" s="7">
        <v>23.0</v>
      </c>
      <c r="F26" s="37">
        <v>34.0</v>
      </c>
      <c r="G26" s="37">
        <v>24.0</v>
      </c>
      <c r="H26" s="37">
        <v>3.162</v>
      </c>
      <c r="I26" s="37" t="s">
        <v>784</v>
      </c>
      <c r="J26" s="42"/>
    </row>
    <row r="27" ht="22.5" customHeight="1">
      <c r="A27" s="7" t="s">
        <v>785</v>
      </c>
      <c r="B27" s="41" t="s">
        <v>171</v>
      </c>
      <c r="C27" s="37">
        <v>3.0</v>
      </c>
      <c r="D27" s="7">
        <v>31.0</v>
      </c>
      <c r="E27" s="7">
        <v>23.0</v>
      </c>
      <c r="F27" s="37">
        <v>36.0</v>
      </c>
      <c r="G27" s="37">
        <v>26.0</v>
      </c>
      <c r="H27" s="37">
        <v>5.831</v>
      </c>
      <c r="I27" s="37" t="s">
        <v>786</v>
      </c>
      <c r="J27" s="42"/>
    </row>
    <row r="28" ht="22.5" customHeight="1">
      <c r="A28" s="7" t="s">
        <v>787</v>
      </c>
      <c r="B28" s="41" t="s">
        <v>171</v>
      </c>
      <c r="C28" s="37">
        <v>3.0</v>
      </c>
      <c r="D28" s="7">
        <v>31.0</v>
      </c>
      <c r="E28" s="7">
        <v>23.0</v>
      </c>
      <c r="F28" s="37">
        <v>34.0</v>
      </c>
      <c r="G28" s="37">
        <v>26.0</v>
      </c>
      <c r="H28" s="37">
        <v>4.243</v>
      </c>
      <c r="I28" s="37" t="s">
        <v>788</v>
      </c>
      <c r="J28" s="42"/>
    </row>
    <row r="29" ht="22.5" customHeight="1">
      <c r="A29" s="7" t="s">
        <v>789</v>
      </c>
      <c r="B29" s="41" t="s">
        <v>171</v>
      </c>
      <c r="C29" s="37">
        <v>4.0</v>
      </c>
      <c r="D29" s="7">
        <v>30.0</v>
      </c>
      <c r="E29" s="7">
        <v>17.0</v>
      </c>
      <c r="F29" s="37">
        <v>41.0</v>
      </c>
      <c r="G29" s="37">
        <v>30.0</v>
      </c>
      <c r="H29" s="37">
        <v>17.029</v>
      </c>
      <c r="I29" s="37" t="s">
        <v>790</v>
      </c>
      <c r="J29" s="42"/>
    </row>
    <row r="30" ht="22.5" customHeight="1">
      <c r="A30" s="7" t="s">
        <v>791</v>
      </c>
      <c r="B30" s="41" t="s">
        <v>171</v>
      </c>
      <c r="C30" s="37">
        <v>4.0</v>
      </c>
      <c r="D30" s="7">
        <v>30.0</v>
      </c>
      <c r="E30" s="7">
        <v>17.0</v>
      </c>
      <c r="F30" s="37">
        <v>41.0</v>
      </c>
      <c r="G30" s="37">
        <v>39.0</v>
      </c>
      <c r="H30" s="37">
        <v>17.029</v>
      </c>
      <c r="I30" s="37" t="s">
        <v>792</v>
      </c>
      <c r="J30" s="42"/>
    </row>
    <row r="31" ht="22.5" customHeight="1">
      <c r="A31" s="7" t="s">
        <v>793</v>
      </c>
      <c r="B31" s="41" t="s">
        <v>171</v>
      </c>
      <c r="C31" s="37">
        <v>4.0</v>
      </c>
      <c r="D31" s="7">
        <v>30.0</v>
      </c>
      <c r="E31" s="7">
        <v>17.0</v>
      </c>
      <c r="F31" s="37">
        <v>41.0</v>
      </c>
      <c r="G31" s="37">
        <v>29.0</v>
      </c>
      <c r="H31" s="37">
        <v>16.279</v>
      </c>
      <c r="I31" s="37" t="s">
        <v>794</v>
      </c>
      <c r="J31" s="42"/>
    </row>
    <row r="32" ht="22.5" customHeight="1">
      <c r="A32" s="7" t="s">
        <v>795</v>
      </c>
      <c r="B32" s="41" t="s">
        <v>171</v>
      </c>
      <c r="C32" s="37">
        <v>5.0</v>
      </c>
      <c r="D32" s="7">
        <v>40.0</v>
      </c>
      <c r="E32" s="7">
        <v>31.0</v>
      </c>
      <c r="F32" s="37">
        <v>25.0</v>
      </c>
      <c r="G32" s="37">
        <v>38.0</v>
      </c>
      <c r="H32" s="37">
        <v>16.553</v>
      </c>
      <c r="I32" s="37" t="s">
        <v>796</v>
      </c>
      <c r="J32" s="42"/>
    </row>
    <row r="33" ht="22.5" customHeight="1">
      <c r="A33" s="7" t="s">
        <v>797</v>
      </c>
      <c r="B33" s="41" t="s">
        <v>171</v>
      </c>
      <c r="C33" s="37">
        <v>5.0</v>
      </c>
      <c r="D33" s="7">
        <v>40.0</v>
      </c>
      <c r="E33" s="7">
        <v>31.0</v>
      </c>
      <c r="F33" s="37">
        <v>29.0</v>
      </c>
      <c r="G33" s="37">
        <v>41.0</v>
      </c>
      <c r="H33" s="37">
        <v>14.866</v>
      </c>
      <c r="I33" s="37" t="s">
        <v>798</v>
      </c>
      <c r="J33" s="42"/>
    </row>
    <row r="34" ht="22.5" customHeight="1">
      <c r="A34" s="7" t="s">
        <v>799</v>
      </c>
      <c r="B34" s="41" t="s">
        <v>171</v>
      </c>
      <c r="C34" s="37">
        <v>5.0</v>
      </c>
      <c r="D34" s="7">
        <v>40.0</v>
      </c>
      <c r="E34" s="7">
        <v>31.0</v>
      </c>
      <c r="F34" s="37">
        <v>26.0</v>
      </c>
      <c r="G34" s="37">
        <v>41.0</v>
      </c>
      <c r="H34" s="37">
        <v>17.205</v>
      </c>
      <c r="I34" s="37" t="s">
        <v>800</v>
      </c>
      <c r="J34" s="42"/>
    </row>
    <row r="35" ht="22.5" customHeight="1">
      <c r="A35" s="7" t="s">
        <v>801</v>
      </c>
      <c r="B35" s="41" t="s">
        <v>171</v>
      </c>
      <c r="C35" s="37">
        <v>6.0</v>
      </c>
      <c r="D35" s="7">
        <v>48.0</v>
      </c>
      <c r="E35" s="7">
        <v>25.0</v>
      </c>
      <c r="F35" s="37">
        <v>39.0</v>
      </c>
      <c r="G35" s="37">
        <v>22.0</v>
      </c>
      <c r="H35" s="37">
        <v>9.487</v>
      </c>
      <c r="I35" s="37" t="s">
        <v>802</v>
      </c>
      <c r="J35" s="42"/>
    </row>
    <row r="36" ht="22.5" customHeight="1">
      <c r="A36" s="7" t="s">
        <v>803</v>
      </c>
      <c r="B36" s="41" t="s">
        <v>171</v>
      </c>
      <c r="C36" s="37">
        <v>6.0</v>
      </c>
      <c r="D36" s="7">
        <v>48.0</v>
      </c>
      <c r="E36" s="7">
        <v>25.0</v>
      </c>
      <c r="F36" s="37">
        <v>37.0</v>
      </c>
      <c r="G36" s="37">
        <v>22.0</v>
      </c>
      <c r="H36" s="37">
        <v>11.402</v>
      </c>
      <c r="I36" s="37" t="s">
        <v>804</v>
      </c>
      <c r="J36" s="42"/>
    </row>
    <row r="37" ht="22.5" customHeight="1">
      <c r="A37" s="7" t="s">
        <v>805</v>
      </c>
      <c r="B37" s="41" t="s">
        <v>171</v>
      </c>
      <c r="C37" s="37">
        <v>6.0</v>
      </c>
      <c r="D37" s="7">
        <v>48.0</v>
      </c>
      <c r="E37" s="7">
        <v>25.0</v>
      </c>
      <c r="F37" s="37">
        <v>37.0</v>
      </c>
      <c r="G37" s="37">
        <v>19.0</v>
      </c>
      <c r="H37" s="37">
        <v>12.53</v>
      </c>
      <c r="I37" s="37" t="s">
        <v>806</v>
      </c>
      <c r="J37" s="42"/>
    </row>
  </sheetData>
  <dataValidations>
    <dataValidation type="list" allowBlank="1" sqref="B2:B37">
      <formula1>"Floor 3,Floor 5"</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22.63"/>
    <col customWidth="1" min="8" max="8" width="18.38"/>
    <col customWidth="1" min="9" max="9" width="24.25"/>
    <col customWidth="1" min="10" max="10" width="27.38"/>
  </cols>
  <sheetData>
    <row r="1" ht="22.5" customHeight="1">
      <c r="A1" s="2" t="s">
        <v>0</v>
      </c>
      <c r="B1" s="2" t="s">
        <v>1</v>
      </c>
      <c r="C1" s="2" t="s">
        <v>2</v>
      </c>
      <c r="D1" s="2" t="s">
        <v>3</v>
      </c>
      <c r="E1" s="2" t="s">
        <v>4</v>
      </c>
      <c r="F1" s="2" t="s">
        <v>5</v>
      </c>
      <c r="G1" s="2" t="s">
        <v>6</v>
      </c>
      <c r="H1" s="2" t="s">
        <v>7</v>
      </c>
      <c r="I1" s="3" t="s">
        <v>8</v>
      </c>
      <c r="J1" s="3" t="s">
        <v>9</v>
      </c>
    </row>
    <row r="2" ht="22.5" customHeight="1">
      <c r="A2" s="7" t="s">
        <v>18</v>
      </c>
      <c r="B2" s="8" t="s">
        <v>19</v>
      </c>
      <c r="C2" s="9">
        <v>1.1</v>
      </c>
      <c r="D2" s="8" t="s">
        <v>20</v>
      </c>
      <c r="E2" s="7">
        <v>39.0</v>
      </c>
      <c r="F2" s="7">
        <v>15.0</v>
      </c>
      <c r="G2" s="7">
        <v>37.0</v>
      </c>
      <c r="H2" s="10">
        <v>17.0</v>
      </c>
      <c r="I2" s="7">
        <v>2.828</v>
      </c>
      <c r="J2" s="10" t="s">
        <v>21</v>
      </c>
    </row>
    <row r="3" ht="22.5" customHeight="1">
      <c r="A3" s="7" t="s">
        <v>22</v>
      </c>
      <c r="B3" s="8" t="s">
        <v>19</v>
      </c>
      <c r="C3" s="9">
        <v>1.1</v>
      </c>
      <c r="D3" s="8" t="s">
        <v>20</v>
      </c>
      <c r="E3" s="7">
        <v>39.0</v>
      </c>
      <c r="F3" s="7">
        <v>15.0</v>
      </c>
      <c r="G3" s="7">
        <v>37.0</v>
      </c>
      <c r="H3" s="10">
        <v>17.0</v>
      </c>
      <c r="I3" s="7">
        <v>2.828</v>
      </c>
      <c r="J3" s="10" t="s">
        <v>23</v>
      </c>
    </row>
    <row r="4" ht="22.5" customHeight="1">
      <c r="A4" s="7" t="s">
        <v>25</v>
      </c>
      <c r="B4" s="8" t="s">
        <v>19</v>
      </c>
      <c r="C4" s="9">
        <v>1.1</v>
      </c>
      <c r="D4" s="8" t="s">
        <v>20</v>
      </c>
      <c r="E4" s="7">
        <v>39.0</v>
      </c>
      <c r="F4" s="7">
        <v>15.0</v>
      </c>
      <c r="G4" s="7">
        <v>37.0</v>
      </c>
      <c r="H4" s="10">
        <v>17.0</v>
      </c>
      <c r="I4" s="7">
        <v>2.828</v>
      </c>
      <c r="J4" s="10" t="s">
        <v>26</v>
      </c>
    </row>
    <row r="5" ht="22.5" customHeight="1">
      <c r="A5" s="7" t="s">
        <v>28</v>
      </c>
      <c r="B5" s="8" t="s">
        <v>19</v>
      </c>
      <c r="C5" s="9">
        <v>1.2</v>
      </c>
      <c r="D5" s="8" t="s">
        <v>20</v>
      </c>
      <c r="E5" s="7">
        <v>39.0</v>
      </c>
      <c r="F5" s="7">
        <v>15.0</v>
      </c>
      <c r="G5" s="7">
        <v>35.0</v>
      </c>
      <c r="H5" s="10">
        <v>19.0</v>
      </c>
      <c r="I5" s="7">
        <v>5.657</v>
      </c>
      <c r="J5" s="10" t="s">
        <v>29</v>
      </c>
    </row>
    <row r="6" ht="22.5" customHeight="1">
      <c r="A6" s="7" t="s">
        <v>31</v>
      </c>
      <c r="B6" s="8" t="s">
        <v>19</v>
      </c>
      <c r="C6" s="9">
        <v>1.2</v>
      </c>
      <c r="D6" s="8" t="s">
        <v>20</v>
      </c>
      <c r="E6" s="7">
        <v>39.0</v>
      </c>
      <c r="F6" s="7">
        <v>15.0</v>
      </c>
      <c r="G6" s="7">
        <v>37.0</v>
      </c>
      <c r="H6" s="10">
        <v>17.0</v>
      </c>
      <c r="I6" s="10">
        <v>2.828</v>
      </c>
      <c r="J6" s="10" t="s">
        <v>32</v>
      </c>
    </row>
    <row r="7" ht="22.5" customHeight="1">
      <c r="A7" s="7" t="s">
        <v>34</v>
      </c>
      <c r="B7" s="8" t="s">
        <v>19</v>
      </c>
      <c r="C7" s="9">
        <v>1.2</v>
      </c>
      <c r="D7" s="8" t="s">
        <v>20</v>
      </c>
      <c r="E7" s="7">
        <v>39.0</v>
      </c>
      <c r="F7" s="7">
        <v>15.0</v>
      </c>
      <c r="G7" s="7">
        <v>36.0</v>
      </c>
      <c r="H7" s="10">
        <v>17.0</v>
      </c>
      <c r="I7" s="10">
        <v>3.606</v>
      </c>
      <c r="J7" s="10" t="s">
        <v>35</v>
      </c>
    </row>
    <row r="8" ht="22.5" customHeight="1">
      <c r="A8" s="7" t="s">
        <v>48</v>
      </c>
      <c r="B8" s="8" t="s">
        <v>19</v>
      </c>
      <c r="C8" s="9">
        <v>2.1</v>
      </c>
      <c r="D8" s="8" t="s">
        <v>20</v>
      </c>
      <c r="E8" s="7">
        <v>44.0</v>
      </c>
      <c r="F8" s="7">
        <v>16.0</v>
      </c>
      <c r="G8" s="7">
        <v>44.0</v>
      </c>
      <c r="H8" s="10">
        <v>16.0</v>
      </c>
      <c r="I8" s="10">
        <v>0.0</v>
      </c>
      <c r="J8" s="10" t="s">
        <v>49</v>
      </c>
    </row>
    <row r="9" ht="22.5" customHeight="1">
      <c r="A9" s="7" t="s">
        <v>51</v>
      </c>
      <c r="B9" s="8" t="s">
        <v>19</v>
      </c>
      <c r="C9" s="9">
        <v>2.1</v>
      </c>
      <c r="D9" s="8" t="s">
        <v>20</v>
      </c>
      <c r="E9" s="7">
        <v>44.0</v>
      </c>
      <c r="F9" s="7">
        <v>16.0</v>
      </c>
      <c r="G9" s="7">
        <v>44.0</v>
      </c>
      <c r="H9" s="10">
        <v>17.0</v>
      </c>
      <c r="I9" s="10">
        <v>1.0</v>
      </c>
      <c r="J9" s="10" t="s">
        <v>52</v>
      </c>
    </row>
    <row r="10" ht="22.5" customHeight="1">
      <c r="A10" s="7" t="s">
        <v>54</v>
      </c>
      <c r="B10" s="8" t="s">
        <v>19</v>
      </c>
      <c r="C10" s="9">
        <v>2.1</v>
      </c>
      <c r="D10" s="8" t="s">
        <v>20</v>
      </c>
      <c r="E10" s="7">
        <v>44.0</v>
      </c>
      <c r="F10" s="7">
        <v>16.0</v>
      </c>
      <c r="G10" s="7">
        <v>44.0</v>
      </c>
      <c r="H10" s="10">
        <v>17.0</v>
      </c>
      <c r="I10" s="10">
        <v>1.0</v>
      </c>
      <c r="J10" s="10" t="s">
        <v>55</v>
      </c>
    </row>
    <row r="11" ht="22.5" customHeight="1">
      <c r="A11" s="7" t="s">
        <v>57</v>
      </c>
      <c r="B11" s="8" t="s">
        <v>19</v>
      </c>
      <c r="C11" s="9">
        <v>2.2</v>
      </c>
      <c r="D11" s="8" t="s">
        <v>20</v>
      </c>
      <c r="E11" s="7">
        <v>44.0</v>
      </c>
      <c r="F11" s="7">
        <v>16.0</v>
      </c>
      <c r="G11" s="7">
        <v>42.0</v>
      </c>
      <c r="H11" s="10">
        <v>20.0</v>
      </c>
      <c r="I11" s="10">
        <v>4.472</v>
      </c>
      <c r="J11" s="10" t="s">
        <v>58</v>
      </c>
    </row>
    <row r="12" ht="22.5" customHeight="1">
      <c r="A12" s="7" t="s">
        <v>60</v>
      </c>
      <c r="B12" s="8" t="s">
        <v>19</v>
      </c>
      <c r="C12" s="9">
        <v>2.2</v>
      </c>
      <c r="D12" s="8" t="s">
        <v>20</v>
      </c>
      <c r="E12" s="7">
        <v>44.0</v>
      </c>
      <c r="F12" s="7">
        <v>16.0</v>
      </c>
      <c r="G12" s="7">
        <v>42.0</v>
      </c>
      <c r="H12" s="10">
        <v>28.0</v>
      </c>
      <c r="I12" s="10">
        <v>12.166</v>
      </c>
      <c r="J12" s="10" t="s">
        <v>61</v>
      </c>
    </row>
    <row r="13" ht="22.5" customHeight="1">
      <c r="A13" s="7" t="s">
        <v>63</v>
      </c>
      <c r="B13" s="8" t="s">
        <v>19</v>
      </c>
      <c r="C13" s="9">
        <v>2.2</v>
      </c>
      <c r="D13" s="8" t="s">
        <v>20</v>
      </c>
      <c r="E13" s="7">
        <v>44.0</v>
      </c>
      <c r="F13" s="7">
        <v>16.0</v>
      </c>
      <c r="G13" s="7">
        <v>43.0</v>
      </c>
      <c r="H13" s="10">
        <v>28.0</v>
      </c>
      <c r="I13" s="10">
        <v>12.042</v>
      </c>
      <c r="J13" s="10" t="s">
        <v>64</v>
      </c>
    </row>
    <row r="14" ht="22.5" customHeight="1">
      <c r="A14" s="7" t="s">
        <v>76</v>
      </c>
      <c r="B14" s="8" t="s">
        <v>19</v>
      </c>
      <c r="C14" s="9">
        <v>3.1</v>
      </c>
      <c r="D14" s="8" t="s">
        <v>20</v>
      </c>
      <c r="E14" s="7">
        <v>39.0</v>
      </c>
      <c r="F14" s="7">
        <v>22.0</v>
      </c>
      <c r="G14" s="7">
        <v>44.0</v>
      </c>
      <c r="H14" s="7">
        <v>16.0</v>
      </c>
      <c r="I14" s="10">
        <v>7.81</v>
      </c>
      <c r="J14" s="10" t="s">
        <v>77</v>
      </c>
    </row>
    <row r="15" ht="22.5" customHeight="1">
      <c r="A15" s="7" t="s">
        <v>79</v>
      </c>
      <c r="B15" s="8" t="s">
        <v>19</v>
      </c>
      <c r="C15" s="9">
        <v>3.1</v>
      </c>
      <c r="D15" s="8" t="s">
        <v>20</v>
      </c>
      <c r="E15" s="7">
        <v>39.0</v>
      </c>
      <c r="F15" s="7">
        <v>22.0</v>
      </c>
      <c r="G15" s="7">
        <v>44.0</v>
      </c>
      <c r="H15" s="10">
        <v>17.0</v>
      </c>
      <c r="I15" s="10">
        <v>7.071</v>
      </c>
      <c r="J15" s="10" t="s">
        <v>80</v>
      </c>
    </row>
    <row r="16" ht="22.5" customHeight="1">
      <c r="A16" s="7" t="s">
        <v>82</v>
      </c>
      <c r="B16" s="8" t="s">
        <v>19</v>
      </c>
      <c r="C16" s="9">
        <v>3.1</v>
      </c>
      <c r="D16" s="8" t="s">
        <v>20</v>
      </c>
      <c r="E16" s="7">
        <v>39.0</v>
      </c>
      <c r="F16" s="7">
        <v>22.0</v>
      </c>
      <c r="G16" s="7">
        <v>45.0</v>
      </c>
      <c r="H16" s="10">
        <v>20.0</v>
      </c>
      <c r="I16" s="10">
        <v>6.325</v>
      </c>
      <c r="J16" s="10" t="s">
        <v>83</v>
      </c>
    </row>
    <row r="17" ht="22.5" customHeight="1">
      <c r="A17" s="7" t="s">
        <v>85</v>
      </c>
      <c r="B17" s="8" t="s">
        <v>19</v>
      </c>
      <c r="C17" s="9">
        <v>3.2</v>
      </c>
      <c r="D17" s="8" t="s">
        <v>20</v>
      </c>
      <c r="E17" s="7">
        <v>39.0</v>
      </c>
      <c r="F17" s="7">
        <v>22.0</v>
      </c>
      <c r="G17" s="7">
        <v>31.0</v>
      </c>
      <c r="H17" s="10">
        <v>17.0</v>
      </c>
      <c r="I17" s="10">
        <v>9.434</v>
      </c>
      <c r="J17" s="10" t="s">
        <v>86</v>
      </c>
    </row>
    <row r="18" ht="22.5" customHeight="1">
      <c r="A18" s="7" t="s">
        <v>88</v>
      </c>
      <c r="B18" s="8" t="s">
        <v>19</v>
      </c>
      <c r="C18" s="9">
        <v>3.2</v>
      </c>
      <c r="D18" s="8" t="s">
        <v>20</v>
      </c>
      <c r="E18" s="7">
        <v>39.0</v>
      </c>
      <c r="F18" s="7">
        <v>22.0</v>
      </c>
      <c r="G18" s="7">
        <v>32.0</v>
      </c>
      <c r="H18" s="10">
        <v>24.0</v>
      </c>
      <c r="I18" s="10">
        <v>9.22</v>
      </c>
      <c r="J18" s="10" t="s">
        <v>89</v>
      </c>
    </row>
    <row r="19" ht="22.5" customHeight="1">
      <c r="A19" s="7" t="s">
        <v>91</v>
      </c>
      <c r="B19" s="8" t="s">
        <v>19</v>
      </c>
      <c r="C19" s="9">
        <v>3.2</v>
      </c>
      <c r="D19" s="8" t="s">
        <v>20</v>
      </c>
      <c r="E19" s="7">
        <v>39.0</v>
      </c>
      <c r="F19" s="7">
        <v>22.0</v>
      </c>
      <c r="G19" s="7">
        <v>32.0</v>
      </c>
      <c r="H19" s="10">
        <v>12.0</v>
      </c>
      <c r="I19" s="10">
        <v>12.207</v>
      </c>
      <c r="J19" s="10" t="s">
        <v>92</v>
      </c>
    </row>
    <row r="20" ht="22.5" customHeight="1">
      <c r="A20" s="7" t="s">
        <v>104</v>
      </c>
      <c r="B20" s="8" t="s">
        <v>19</v>
      </c>
      <c r="C20" s="9">
        <v>4.1</v>
      </c>
      <c r="D20" s="8" t="s">
        <v>20</v>
      </c>
      <c r="E20" s="7">
        <v>42.0</v>
      </c>
      <c r="F20" s="7">
        <v>29.0</v>
      </c>
      <c r="G20" s="7">
        <v>36.0</v>
      </c>
      <c r="H20" s="10">
        <v>23.0</v>
      </c>
      <c r="I20" s="10">
        <v>8.485</v>
      </c>
      <c r="J20" s="10" t="s">
        <v>105</v>
      </c>
    </row>
    <row r="21" ht="22.5" customHeight="1">
      <c r="A21" s="7" t="s">
        <v>107</v>
      </c>
      <c r="B21" s="8" t="s">
        <v>19</v>
      </c>
      <c r="C21" s="9">
        <v>4.1</v>
      </c>
      <c r="D21" s="8" t="s">
        <v>20</v>
      </c>
      <c r="E21" s="7">
        <v>42.0</v>
      </c>
      <c r="F21" s="7">
        <v>29.0</v>
      </c>
      <c r="G21" s="7">
        <v>35.0</v>
      </c>
      <c r="H21" s="10">
        <v>23.0</v>
      </c>
      <c r="I21" s="10">
        <v>9.22</v>
      </c>
      <c r="J21" s="10" t="s">
        <v>108</v>
      </c>
    </row>
    <row r="22" ht="22.5" customHeight="1">
      <c r="A22" s="7" t="s">
        <v>110</v>
      </c>
      <c r="B22" s="8" t="s">
        <v>19</v>
      </c>
      <c r="C22" s="9">
        <v>4.1</v>
      </c>
      <c r="D22" s="8" t="s">
        <v>20</v>
      </c>
      <c r="E22" s="7">
        <v>42.0</v>
      </c>
      <c r="F22" s="7">
        <v>29.0</v>
      </c>
      <c r="G22" s="7">
        <v>36.0</v>
      </c>
      <c r="H22" s="10">
        <v>21.0</v>
      </c>
      <c r="I22" s="10">
        <v>10.0</v>
      </c>
      <c r="J22" s="10" t="s">
        <v>111</v>
      </c>
    </row>
    <row r="23" ht="22.5" customHeight="1">
      <c r="A23" s="7" t="s">
        <v>113</v>
      </c>
      <c r="B23" s="8" t="s">
        <v>19</v>
      </c>
      <c r="C23" s="9">
        <v>4.2</v>
      </c>
      <c r="D23" s="8" t="s">
        <v>20</v>
      </c>
      <c r="E23" s="7">
        <v>42.0</v>
      </c>
      <c r="F23" s="7">
        <v>29.0</v>
      </c>
      <c r="G23" s="7">
        <v>31.0</v>
      </c>
      <c r="H23" s="10">
        <v>12.0</v>
      </c>
      <c r="I23" s="10">
        <v>20.248</v>
      </c>
      <c r="J23" s="10" t="s">
        <v>114</v>
      </c>
    </row>
    <row r="24" ht="22.5" customHeight="1">
      <c r="A24" s="7" t="s">
        <v>116</v>
      </c>
      <c r="B24" s="8" t="s">
        <v>19</v>
      </c>
      <c r="C24" s="9">
        <v>4.2</v>
      </c>
      <c r="D24" s="8" t="s">
        <v>20</v>
      </c>
      <c r="E24" s="7">
        <v>42.0</v>
      </c>
      <c r="F24" s="7">
        <v>29.0</v>
      </c>
      <c r="G24" s="7">
        <v>32.0</v>
      </c>
      <c r="H24" s="10">
        <v>12.0</v>
      </c>
      <c r="I24" s="10">
        <v>19.723</v>
      </c>
      <c r="J24" s="10" t="s">
        <v>117</v>
      </c>
    </row>
    <row r="25" ht="22.5" customHeight="1">
      <c r="A25" s="7" t="s">
        <v>119</v>
      </c>
      <c r="B25" s="8" t="s">
        <v>19</v>
      </c>
      <c r="C25" s="9">
        <v>4.2</v>
      </c>
      <c r="D25" s="8" t="s">
        <v>20</v>
      </c>
      <c r="E25" s="7">
        <v>42.0</v>
      </c>
      <c r="F25" s="7">
        <v>29.0</v>
      </c>
      <c r="G25" s="7">
        <v>32.0</v>
      </c>
      <c r="H25" s="10">
        <v>12.0</v>
      </c>
      <c r="I25" s="10">
        <v>19.723</v>
      </c>
      <c r="J25" s="10" t="s">
        <v>120</v>
      </c>
    </row>
    <row r="26" ht="22.5" customHeight="1">
      <c r="A26" s="7" t="s">
        <v>132</v>
      </c>
      <c r="B26" s="8" t="s">
        <v>19</v>
      </c>
      <c r="C26" s="9">
        <v>5.1</v>
      </c>
      <c r="D26" s="8" t="s">
        <v>20</v>
      </c>
      <c r="E26" s="7">
        <v>46.0</v>
      </c>
      <c r="F26" s="7">
        <v>30.0</v>
      </c>
      <c r="G26" s="7">
        <v>30.0</v>
      </c>
      <c r="H26" s="7">
        <v>16.0</v>
      </c>
      <c r="I26" s="10">
        <v>21.26</v>
      </c>
      <c r="J26" s="10" t="s">
        <v>133</v>
      </c>
    </row>
    <row r="27" ht="22.5" customHeight="1">
      <c r="A27" s="7" t="s">
        <v>134</v>
      </c>
      <c r="B27" s="8" t="s">
        <v>19</v>
      </c>
      <c r="C27" s="9">
        <v>5.1</v>
      </c>
      <c r="D27" s="8" t="s">
        <v>20</v>
      </c>
      <c r="E27" s="7">
        <v>46.0</v>
      </c>
      <c r="F27" s="7">
        <v>30.0</v>
      </c>
      <c r="G27" s="7">
        <v>30.0</v>
      </c>
      <c r="H27" s="10">
        <v>17.0</v>
      </c>
      <c r="I27" s="10">
        <v>20.616</v>
      </c>
      <c r="J27" s="10" t="s">
        <v>135</v>
      </c>
    </row>
    <row r="28" ht="22.5" customHeight="1">
      <c r="A28" s="7" t="s">
        <v>136</v>
      </c>
      <c r="B28" s="8" t="s">
        <v>19</v>
      </c>
      <c r="C28" s="9">
        <v>5.1</v>
      </c>
      <c r="D28" s="8" t="s">
        <v>20</v>
      </c>
      <c r="E28" s="7">
        <v>46.0</v>
      </c>
      <c r="F28" s="7">
        <v>30.0</v>
      </c>
      <c r="G28" s="7">
        <v>30.0</v>
      </c>
      <c r="H28" s="10">
        <v>17.0</v>
      </c>
      <c r="I28" s="10">
        <v>20.616</v>
      </c>
      <c r="J28" s="10" t="s">
        <v>137</v>
      </c>
    </row>
    <row r="29" ht="22.5" customHeight="1">
      <c r="A29" s="7" t="s">
        <v>138</v>
      </c>
      <c r="B29" s="8" t="s">
        <v>19</v>
      </c>
      <c r="C29" s="9">
        <v>5.2</v>
      </c>
      <c r="D29" s="8" t="s">
        <v>20</v>
      </c>
      <c r="E29" s="7">
        <v>46.0</v>
      </c>
      <c r="F29" s="7">
        <v>30.0</v>
      </c>
      <c r="G29" s="7">
        <v>49.0</v>
      </c>
      <c r="H29" s="10">
        <v>30.0</v>
      </c>
      <c r="I29" s="10">
        <v>3.0</v>
      </c>
      <c r="J29" s="10" t="s">
        <v>139</v>
      </c>
    </row>
    <row r="30" ht="22.5" customHeight="1">
      <c r="A30" s="7" t="s">
        <v>140</v>
      </c>
      <c r="B30" s="8" t="s">
        <v>19</v>
      </c>
      <c r="C30" s="9">
        <v>5.2</v>
      </c>
      <c r="D30" s="8" t="s">
        <v>20</v>
      </c>
      <c r="E30" s="7">
        <v>46.0</v>
      </c>
      <c r="F30" s="7">
        <v>30.0</v>
      </c>
      <c r="G30" s="7">
        <v>47.0</v>
      </c>
      <c r="H30" s="10">
        <v>30.0</v>
      </c>
      <c r="I30" s="10">
        <v>1.0</v>
      </c>
      <c r="J30" s="10" t="s">
        <v>141</v>
      </c>
    </row>
    <row r="31" ht="22.5" customHeight="1">
      <c r="A31" s="7" t="s">
        <v>142</v>
      </c>
      <c r="B31" s="8" t="s">
        <v>19</v>
      </c>
      <c r="C31" s="9">
        <v>5.2</v>
      </c>
      <c r="D31" s="8" t="s">
        <v>20</v>
      </c>
      <c r="E31" s="7">
        <v>46.0</v>
      </c>
      <c r="F31" s="7">
        <v>30.0</v>
      </c>
      <c r="G31" s="7">
        <v>48.0</v>
      </c>
      <c r="H31" s="10">
        <v>30.0</v>
      </c>
      <c r="I31" s="10">
        <v>2.0</v>
      </c>
      <c r="J31" s="10" t="s">
        <v>143</v>
      </c>
    </row>
    <row r="32" ht="22.5" customHeight="1">
      <c r="A32" s="7" t="s">
        <v>151</v>
      </c>
      <c r="B32" s="8" t="s">
        <v>19</v>
      </c>
      <c r="C32" s="9">
        <v>6.1</v>
      </c>
      <c r="D32" s="8" t="s">
        <v>20</v>
      </c>
      <c r="E32" s="7">
        <v>48.0</v>
      </c>
      <c r="F32" s="7">
        <v>27.0</v>
      </c>
      <c r="G32" s="7">
        <v>44.0</v>
      </c>
      <c r="H32" s="10">
        <v>31.0</v>
      </c>
      <c r="I32" s="10">
        <v>5.657</v>
      </c>
      <c r="J32" s="10" t="s">
        <v>152</v>
      </c>
    </row>
    <row r="33" ht="22.5" customHeight="1">
      <c r="A33" s="7" t="s">
        <v>153</v>
      </c>
      <c r="B33" s="8" t="s">
        <v>19</v>
      </c>
      <c r="C33" s="9">
        <v>6.1</v>
      </c>
      <c r="D33" s="8" t="s">
        <v>20</v>
      </c>
      <c r="E33" s="7">
        <v>48.0</v>
      </c>
      <c r="F33" s="7">
        <v>27.0</v>
      </c>
      <c r="G33" s="7">
        <v>44.0</v>
      </c>
      <c r="H33" s="10">
        <v>30.0</v>
      </c>
      <c r="I33" s="10">
        <v>5.0</v>
      </c>
      <c r="J33" s="10" t="s">
        <v>154</v>
      </c>
    </row>
    <row r="34" ht="22.5" customHeight="1">
      <c r="A34" s="7" t="s">
        <v>155</v>
      </c>
      <c r="B34" s="8" t="s">
        <v>19</v>
      </c>
      <c r="C34" s="9">
        <v>6.1</v>
      </c>
      <c r="D34" s="8" t="s">
        <v>20</v>
      </c>
      <c r="E34" s="7">
        <v>48.0</v>
      </c>
      <c r="F34" s="7">
        <v>27.0</v>
      </c>
      <c r="G34" s="7">
        <v>44.0</v>
      </c>
      <c r="H34" s="10">
        <v>31.0</v>
      </c>
      <c r="I34" s="10">
        <v>5.657</v>
      </c>
      <c r="J34" s="10" t="s">
        <v>156</v>
      </c>
    </row>
    <row r="35" ht="22.5" customHeight="1">
      <c r="A35" s="7" t="s">
        <v>157</v>
      </c>
      <c r="B35" s="8" t="s">
        <v>19</v>
      </c>
      <c r="C35" s="9">
        <v>6.2</v>
      </c>
      <c r="D35" s="8" t="s">
        <v>20</v>
      </c>
      <c r="E35" s="7">
        <v>48.0</v>
      </c>
      <c r="F35" s="7">
        <v>27.0</v>
      </c>
      <c r="G35" s="7">
        <v>47.0</v>
      </c>
      <c r="H35" s="10">
        <v>30.0</v>
      </c>
      <c r="I35" s="10">
        <v>3.162</v>
      </c>
      <c r="J35" s="10" t="s">
        <v>158</v>
      </c>
    </row>
    <row r="36" ht="22.5" customHeight="1">
      <c r="A36" s="7" t="s">
        <v>159</v>
      </c>
      <c r="B36" s="8" t="s">
        <v>19</v>
      </c>
      <c r="C36" s="9">
        <v>6.2</v>
      </c>
      <c r="D36" s="8" t="s">
        <v>20</v>
      </c>
      <c r="E36" s="7">
        <v>48.0</v>
      </c>
      <c r="F36" s="7">
        <v>27.0</v>
      </c>
      <c r="G36" s="7">
        <v>48.0</v>
      </c>
      <c r="H36" s="10">
        <v>30.0</v>
      </c>
      <c r="I36" s="10">
        <v>3.0</v>
      </c>
      <c r="J36" s="10" t="s">
        <v>160</v>
      </c>
    </row>
    <row r="37" ht="22.5" customHeight="1">
      <c r="A37" s="7" t="s">
        <v>161</v>
      </c>
      <c r="B37" s="8" t="s">
        <v>19</v>
      </c>
      <c r="C37" s="9">
        <v>6.2</v>
      </c>
      <c r="D37" s="8" t="s">
        <v>20</v>
      </c>
      <c r="E37" s="7">
        <v>48.0</v>
      </c>
      <c r="F37" s="7">
        <v>27.0</v>
      </c>
      <c r="G37" s="7">
        <v>47.0</v>
      </c>
      <c r="H37" s="10">
        <v>30.0</v>
      </c>
      <c r="I37" s="10">
        <v>3.162</v>
      </c>
      <c r="J37" s="10" t="s">
        <v>162</v>
      </c>
    </row>
  </sheetData>
  <dataValidations>
    <dataValidation type="list" allowBlank="1" sqref="B2:B37">
      <formula1>"Floor 3,Floor 5"</formula1>
    </dataValidation>
    <dataValidation type="list" allowBlank="1" sqref="D2:D37">
      <formula1>"Wide,Panorama"</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22.63"/>
    <col customWidth="1" min="8" max="8" width="18.38"/>
    <col customWidth="1" min="9" max="9" width="24.25"/>
    <col customWidth="1" min="10" max="10" width="27.38"/>
  </cols>
  <sheetData>
    <row r="1" ht="22.5" customHeight="1">
      <c r="A1" s="2" t="s">
        <v>0</v>
      </c>
      <c r="B1" s="2" t="s">
        <v>1</v>
      </c>
      <c r="C1" s="2" t="s">
        <v>2</v>
      </c>
      <c r="D1" s="2" t="s">
        <v>3</v>
      </c>
      <c r="E1" s="2" t="s">
        <v>4</v>
      </c>
      <c r="F1" s="2" t="s">
        <v>5</v>
      </c>
      <c r="G1" s="2" t="s">
        <v>6</v>
      </c>
      <c r="H1" s="2" t="s">
        <v>7</v>
      </c>
      <c r="I1" s="3" t="s">
        <v>8</v>
      </c>
      <c r="J1" s="3" t="s">
        <v>9</v>
      </c>
      <c r="K1" s="4" t="s">
        <v>289</v>
      </c>
    </row>
    <row r="2" ht="22.5" customHeight="1">
      <c r="A2" s="28" t="s">
        <v>807</v>
      </c>
      <c r="B2" s="8" t="s">
        <v>19</v>
      </c>
      <c r="C2" s="9">
        <v>1.1</v>
      </c>
      <c r="D2" s="8" t="s">
        <v>20</v>
      </c>
      <c r="E2" s="7">
        <v>39.0</v>
      </c>
      <c r="F2" s="7">
        <v>15.0</v>
      </c>
      <c r="G2" s="7">
        <v>37.0</v>
      </c>
      <c r="H2" s="10">
        <v>17.0</v>
      </c>
      <c r="I2" s="10">
        <v>2.828</v>
      </c>
      <c r="J2" s="10" t="s">
        <v>808</v>
      </c>
      <c r="K2" s="11" t="str">
        <f t="shared" ref="K2:K37" si="1">B2&amp;"|"&amp;C2</f>
        <v>Floor 5|1.1</v>
      </c>
      <c r="M2" s="12" t="str">
        <f t="array" ref="M2:M13">UNIQUE(K2:K37)</f>
        <v>Floor 5|1.1</v>
      </c>
      <c r="N2" s="12">
        <f>IFERROR(__xludf.DUMMYFUNCTION("MIN(FILTER($I$2:$I37,$K$2:$K37=M2))"),2.828)</f>
        <v>2.828</v>
      </c>
      <c r="O2" s="12">
        <f>IFERROR(__xludf.DUMMYFUNCTION("MAX(FILTER($I$2:$I37,$K$2:$K37=M2))"),2.828)</f>
        <v>2.828</v>
      </c>
      <c r="P2" s="12">
        <f t="shared" ref="P2:P13" si="2">O2-N2</f>
        <v>0</v>
      </c>
      <c r="R2" s="12">
        <f>COUNTIF(P2:P37,"&gt;0")</f>
        <v>10</v>
      </c>
      <c r="S2" s="12">
        <f>COUNTIF(P2:P37,"&gt;0")/COUNTA(M2:M37)</f>
        <v>0.8333333333</v>
      </c>
    </row>
    <row r="3" ht="22.5" customHeight="1">
      <c r="A3" s="28" t="s">
        <v>809</v>
      </c>
      <c r="B3" s="8" t="s">
        <v>19</v>
      </c>
      <c r="C3" s="9">
        <v>1.1</v>
      </c>
      <c r="D3" s="8" t="s">
        <v>20</v>
      </c>
      <c r="E3" s="7">
        <v>39.0</v>
      </c>
      <c r="F3" s="7">
        <v>15.0</v>
      </c>
      <c r="G3" s="7">
        <v>37.0</v>
      </c>
      <c r="H3" s="10">
        <v>17.0</v>
      </c>
      <c r="I3" s="10">
        <v>2.828</v>
      </c>
      <c r="J3" s="10" t="s">
        <v>810</v>
      </c>
      <c r="K3" s="11" t="str">
        <f t="shared" si="1"/>
        <v>Floor 5|1.1</v>
      </c>
      <c r="M3" s="12" t="s">
        <v>24</v>
      </c>
      <c r="N3" s="12">
        <f>IFERROR(__xludf.DUMMYFUNCTION("MIN(FILTER($I$2:$I37,$K$2:$K37=M3))"),2.828)</f>
        <v>2.828</v>
      </c>
      <c r="O3" s="12">
        <f>IFERROR(__xludf.DUMMYFUNCTION("MAX(FILTER($I$2:$I37,$K$2:$K37=M3))"),4.243)</f>
        <v>4.243</v>
      </c>
      <c r="P3" s="12">
        <f t="shared" si="2"/>
        <v>1.415</v>
      </c>
      <c r="R3" s="12">
        <f>COUNTIF(P2:P37,"&gt;1")</f>
        <v>9</v>
      </c>
      <c r="S3" s="12">
        <f>COUNTIF(P2:P37,"&gt;1")/COUNTA(M2:M37)</f>
        <v>0.75</v>
      </c>
    </row>
    <row r="4" ht="22.5" customHeight="1">
      <c r="A4" s="28" t="s">
        <v>811</v>
      </c>
      <c r="B4" s="8" t="s">
        <v>19</v>
      </c>
      <c r="C4" s="9">
        <v>1.1</v>
      </c>
      <c r="D4" s="8" t="s">
        <v>20</v>
      </c>
      <c r="E4" s="7">
        <v>39.0</v>
      </c>
      <c r="F4" s="7">
        <v>15.0</v>
      </c>
      <c r="G4" s="7">
        <v>37.0</v>
      </c>
      <c r="H4" s="10">
        <v>17.0</v>
      </c>
      <c r="I4" s="10">
        <v>2.828</v>
      </c>
      <c r="J4" s="10" t="s">
        <v>812</v>
      </c>
      <c r="K4" s="11" t="str">
        <f t="shared" si="1"/>
        <v>Floor 5|1.1</v>
      </c>
      <c r="M4" s="12" t="s">
        <v>30</v>
      </c>
      <c r="N4" s="12">
        <f>IFERROR(__xludf.DUMMYFUNCTION("MIN(FILTER($I$2:$I37,$K$2:$K37=M4))"),2.236)</f>
        <v>2.236</v>
      </c>
      <c r="O4" s="12">
        <f>IFERROR(__xludf.DUMMYFUNCTION("MAX(FILTER($I$2:$I37,$K$2:$K37=M4))"),6.0)</f>
        <v>6</v>
      </c>
      <c r="P4" s="12">
        <f t="shared" si="2"/>
        <v>3.764</v>
      </c>
      <c r="R4" s="12">
        <f>COUNTIF(P2:P37,"&gt;3")</f>
        <v>4</v>
      </c>
      <c r="S4" s="12">
        <f>COUNTIF(P2:P37,"&gt;3")/COUNTA(M2:M37)</f>
        <v>0.3333333333</v>
      </c>
    </row>
    <row r="5" ht="22.5" customHeight="1">
      <c r="A5" s="28" t="s">
        <v>813</v>
      </c>
      <c r="B5" s="8" t="s">
        <v>19</v>
      </c>
      <c r="C5" s="9">
        <v>1.2</v>
      </c>
      <c r="D5" s="8" t="s">
        <v>20</v>
      </c>
      <c r="E5" s="7">
        <v>39.0</v>
      </c>
      <c r="F5" s="7">
        <v>15.0</v>
      </c>
      <c r="G5" s="7">
        <v>36.0</v>
      </c>
      <c r="H5" s="10">
        <v>18.0</v>
      </c>
      <c r="I5" s="10">
        <v>4.243</v>
      </c>
      <c r="J5" s="10" t="s">
        <v>814</v>
      </c>
      <c r="K5" s="11" t="str">
        <f t="shared" si="1"/>
        <v>Floor 5|1.2</v>
      </c>
      <c r="M5" s="12" t="s">
        <v>33</v>
      </c>
      <c r="N5" s="12">
        <f>IFERROR(__xludf.DUMMYFUNCTION("MIN(FILTER($I$2:$I37,$K$2:$K37=M5))"),5.099)</f>
        <v>5.099</v>
      </c>
      <c r="O5" s="12">
        <f>IFERROR(__xludf.DUMMYFUNCTION("MAX(FILTER($I$2:$I37,$K$2:$K37=M5))"),12.166)</f>
        <v>12.166</v>
      </c>
      <c r="P5" s="12">
        <f t="shared" si="2"/>
        <v>7.067</v>
      </c>
      <c r="R5" s="12">
        <f>COUNTIF(P2:P37,"&gt;5")</f>
        <v>2</v>
      </c>
      <c r="S5" s="12">
        <f>COUNTIF(P2:P37,"&gt;5")/COUNTA(M2:M37)</f>
        <v>0.1666666667</v>
      </c>
    </row>
    <row r="6" ht="22.5" customHeight="1">
      <c r="A6" s="28" t="s">
        <v>815</v>
      </c>
      <c r="B6" s="8" t="s">
        <v>19</v>
      </c>
      <c r="C6" s="9">
        <v>1.2</v>
      </c>
      <c r="D6" s="8" t="s">
        <v>20</v>
      </c>
      <c r="E6" s="7">
        <v>39.0</v>
      </c>
      <c r="F6" s="7">
        <v>15.0</v>
      </c>
      <c r="G6" s="7">
        <v>37.0</v>
      </c>
      <c r="H6" s="10">
        <v>17.0</v>
      </c>
      <c r="I6" s="10">
        <v>2.828</v>
      </c>
      <c r="J6" s="10" t="s">
        <v>816</v>
      </c>
      <c r="K6" s="11" t="str">
        <f t="shared" si="1"/>
        <v>Floor 5|1.2</v>
      </c>
      <c r="M6" s="12" t="s">
        <v>41</v>
      </c>
      <c r="N6" s="12">
        <f>IFERROR(__xludf.DUMMYFUNCTION("MIN(FILTER($I$2:$I37,$K$2:$K37=M6))"),5.385)</f>
        <v>5.385</v>
      </c>
      <c r="O6" s="12">
        <f>IFERROR(__xludf.DUMMYFUNCTION("MAX(FILTER($I$2:$I37,$K$2:$K37=M6))"),6.708)</f>
        <v>6.708</v>
      </c>
      <c r="P6" s="12">
        <f t="shared" si="2"/>
        <v>1.323</v>
      </c>
      <c r="R6" s="12">
        <f>COUNTIF(P3:P37,"&gt;10")</f>
        <v>0</v>
      </c>
      <c r="S6" s="12">
        <f>COUNTIF(P3:P37,"&gt;10")/COUNTA(M3:M37)</f>
        <v>0</v>
      </c>
    </row>
    <row r="7" ht="23.25" customHeight="1">
      <c r="A7" s="28" t="s">
        <v>817</v>
      </c>
      <c r="B7" s="8" t="s">
        <v>19</v>
      </c>
      <c r="C7" s="9">
        <v>1.2</v>
      </c>
      <c r="D7" s="8" t="s">
        <v>20</v>
      </c>
      <c r="E7" s="7">
        <v>39.0</v>
      </c>
      <c r="F7" s="7">
        <v>15.0</v>
      </c>
      <c r="G7" s="7">
        <v>37.0</v>
      </c>
      <c r="H7" s="10">
        <v>17.0</v>
      </c>
      <c r="I7" s="10">
        <v>2.828</v>
      </c>
      <c r="J7" s="10" t="s">
        <v>818</v>
      </c>
      <c r="K7" s="11" t="str">
        <f t="shared" si="1"/>
        <v>Floor 5|1.2</v>
      </c>
      <c r="M7" s="12" t="s">
        <v>44</v>
      </c>
      <c r="N7" s="12">
        <f>IFERROR(__xludf.DUMMYFUNCTION("MIN(FILTER($I$2:$I37,$K$2:$K37=M7))"),7.071)</f>
        <v>7.071</v>
      </c>
      <c r="O7" s="12">
        <f>IFERROR(__xludf.DUMMYFUNCTION("MAX(FILTER($I$2:$I37,$K$2:$K37=M7))"),13.038)</f>
        <v>13.038</v>
      </c>
      <c r="P7" s="12">
        <f t="shared" si="2"/>
        <v>5.967</v>
      </c>
    </row>
    <row r="8" ht="22.5" customHeight="1">
      <c r="A8" s="28" t="s">
        <v>819</v>
      </c>
      <c r="B8" s="8" t="s">
        <v>19</v>
      </c>
      <c r="C8" s="9">
        <v>2.1</v>
      </c>
      <c r="D8" s="8" t="s">
        <v>20</v>
      </c>
      <c r="E8" s="7">
        <v>44.0</v>
      </c>
      <c r="F8" s="7">
        <v>16.0</v>
      </c>
      <c r="G8" s="7">
        <v>44.0</v>
      </c>
      <c r="H8" s="10">
        <v>22.0</v>
      </c>
      <c r="I8" s="10">
        <v>6.0</v>
      </c>
      <c r="J8" s="10" t="s">
        <v>820</v>
      </c>
      <c r="K8" s="11" t="str">
        <f t="shared" si="1"/>
        <v>Floor 5|2.1</v>
      </c>
      <c r="M8" s="12" t="s">
        <v>50</v>
      </c>
      <c r="N8" s="12">
        <f>IFERROR(__xludf.DUMMYFUNCTION("MIN(FILTER($I$2:$I37,$K$2:$K37=M8))"),9.899)</f>
        <v>9.899</v>
      </c>
      <c r="O8" s="12">
        <f>IFERROR(__xludf.DUMMYFUNCTION("MAX(FILTER($I$2:$I37,$K$2:$K37=M8))"),12.042)</f>
        <v>12.042</v>
      </c>
      <c r="P8" s="12">
        <f t="shared" si="2"/>
        <v>2.143</v>
      </c>
    </row>
    <row r="9" ht="22.5" customHeight="1">
      <c r="A9" s="28" t="s">
        <v>821</v>
      </c>
      <c r="B9" s="8" t="s">
        <v>19</v>
      </c>
      <c r="C9" s="9">
        <v>2.1</v>
      </c>
      <c r="D9" s="8" t="s">
        <v>20</v>
      </c>
      <c r="E9" s="7">
        <v>44.0</v>
      </c>
      <c r="F9" s="7">
        <v>16.0</v>
      </c>
      <c r="G9" s="7">
        <v>45.0</v>
      </c>
      <c r="H9" s="10">
        <v>18.0</v>
      </c>
      <c r="I9" s="10">
        <v>2.236</v>
      </c>
      <c r="J9" s="10" t="s">
        <v>822</v>
      </c>
      <c r="K9" s="11" t="str">
        <f t="shared" si="1"/>
        <v>Floor 5|2.1</v>
      </c>
      <c r="M9" s="12" t="s">
        <v>53</v>
      </c>
      <c r="N9" s="12">
        <f>IFERROR(__xludf.DUMMYFUNCTION("MIN(FILTER($I$2:$I37,$K$2:$K37=M9))"),19.723)</f>
        <v>19.723</v>
      </c>
      <c r="O9" s="12">
        <f>IFERROR(__xludf.DUMMYFUNCTION("MAX(FILTER($I$2:$I37,$K$2:$K37=M9))"),19.723)</f>
        <v>19.723</v>
      </c>
      <c r="P9" s="12">
        <f t="shared" si="2"/>
        <v>0</v>
      </c>
    </row>
    <row r="10" ht="22.5" customHeight="1">
      <c r="A10" s="28" t="s">
        <v>823</v>
      </c>
      <c r="B10" s="8" t="s">
        <v>19</v>
      </c>
      <c r="C10" s="9">
        <v>2.1</v>
      </c>
      <c r="D10" s="8" t="s">
        <v>20</v>
      </c>
      <c r="E10" s="7">
        <v>44.0</v>
      </c>
      <c r="F10" s="7">
        <v>16.0</v>
      </c>
      <c r="G10" s="7">
        <v>46.0</v>
      </c>
      <c r="H10" s="10">
        <v>20.0</v>
      </c>
      <c r="I10" s="10">
        <v>4.472</v>
      </c>
      <c r="J10" s="10" t="s">
        <v>824</v>
      </c>
      <c r="K10" s="11" t="str">
        <f t="shared" si="1"/>
        <v>Floor 5|2.1</v>
      </c>
      <c r="M10" s="12" t="s">
        <v>59</v>
      </c>
      <c r="N10" s="12">
        <f>IFERROR(__xludf.DUMMYFUNCTION("MIN(FILTER($I$2:$I37,$K$2:$K37=M10))"),2.0)</f>
        <v>2</v>
      </c>
      <c r="O10" s="12">
        <f>IFERROR(__xludf.DUMMYFUNCTION("MAX(FILTER($I$2:$I37,$K$2:$K37=M10))"),4.123)</f>
        <v>4.123</v>
      </c>
      <c r="P10" s="12">
        <f t="shared" si="2"/>
        <v>2.123</v>
      </c>
    </row>
    <row r="11" ht="22.5" customHeight="1">
      <c r="A11" s="28" t="s">
        <v>825</v>
      </c>
      <c r="B11" s="8" t="s">
        <v>19</v>
      </c>
      <c r="C11" s="9">
        <v>2.2</v>
      </c>
      <c r="D11" s="8" t="s">
        <v>20</v>
      </c>
      <c r="E11" s="7">
        <v>44.0</v>
      </c>
      <c r="F11" s="7">
        <v>16.0</v>
      </c>
      <c r="G11" s="7">
        <v>42.0</v>
      </c>
      <c r="H11" s="10">
        <v>28.0</v>
      </c>
      <c r="I11" s="10">
        <v>12.166</v>
      </c>
      <c r="J11" s="10" t="s">
        <v>826</v>
      </c>
      <c r="K11" s="11" t="str">
        <f t="shared" si="1"/>
        <v>Floor 5|2.2</v>
      </c>
      <c r="M11" s="12" t="s">
        <v>62</v>
      </c>
      <c r="N11" s="12">
        <f>IFERROR(__xludf.DUMMYFUNCTION("MIN(FILTER($I$2:$I37,$K$2:$K37=M11))"),2.0)</f>
        <v>2</v>
      </c>
      <c r="O11" s="12">
        <f>IFERROR(__xludf.DUMMYFUNCTION("MAX(FILTER($I$2:$I37,$K$2:$K37=M11))"),3.0)</f>
        <v>3</v>
      </c>
      <c r="P11" s="12">
        <f t="shared" si="2"/>
        <v>1</v>
      </c>
    </row>
    <row r="12" ht="22.5" customHeight="1">
      <c r="A12" s="28" t="s">
        <v>827</v>
      </c>
      <c r="B12" s="8" t="s">
        <v>19</v>
      </c>
      <c r="C12" s="9">
        <v>2.2</v>
      </c>
      <c r="D12" s="8" t="s">
        <v>20</v>
      </c>
      <c r="E12" s="7">
        <v>44.0</v>
      </c>
      <c r="F12" s="7">
        <v>16.0</v>
      </c>
      <c r="G12" s="7">
        <v>43.0</v>
      </c>
      <c r="H12" s="10">
        <v>21.0</v>
      </c>
      <c r="I12" s="10">
        <v>5.099</v>
      </c>
      <c r="J12" s="10" t="s">
        <v>828</v>
      </c>
      <c r="K12" s="11" t="str">
        <f t="shared" si="1"/>
        <v>Floor 5|2.2</v>
      </c>
      <c r="M12" s="12" t="s">
        <v>69</v>
      </c>
      <c r="N12" s="12">
        <f>IFERROR(__xludf.DUMMYFUNCTION("MIN(FILTER($I$2:$I37,$K$2:$K37=M12))"),4.243)</f>
        <v>4.243</v>
      </c>
      <c r="O12" s="12">
        <f>IFERROR(__xludf.DUMMYFUNCTION("MAX(FILTER($I$2:$I37,$K$2:$K37=M12))"),5.831)</f>
        <v>5.831</v>
      </c>
      <c r="P12" s="12">
        <f t="shared" si="2"/>
        <v>1.588</v>
      </c>
    </row>
    <row r="13" ht="22.5" customHeight="1">
      <c r="A13" s="28" t="s">
        <v>829</v>
      </c>
      <c r="B13" s="8" t="s">
        <v>19</v>
      </c>
      <c r="C13" s="9">
        <v>2.2</v>
      </c>
      <c r="D13" s="8" t="s">
        <v>20</v>
      </c>
      <c r="E13" s="7">
        <v>44.0</v>
      </c>
      <c r="F13" s="7">
        <v>16.0</v>
      </c>
      <c r="G13" s="7">
        <v>43.0</v>
      </c>
      <c r="H13" s="10">
        <v>18.0</v>
      </c>
      <c r="I13" s="10">
        <v>12.042</v>
      </c>
      <c r="J13" s="10" t="s">
        <v>830</v>
      </c>
      <c r="K13" s="11" t="str">
        <f t="shared" si="1"/>
        <v>Floor 5|2.2</v>
      </c>
      <c r="M13" s="12" t="s">
        <v>72</v>
      </c>
      <c r="N13" s="12">
        <f>IFERROR(__xludf.DUMMYFUNCTION("MIN(FILTER($I$2:$I37,$K$2:$K37=M13))"),1.0)</f>
        <v>1</v>
      </c>
      <c r="O13" s="12">
        <f>IFERROR(__xludf.DUMMYFUNCTION("MAX(FILTER($I$2:$I37,$K$2:$K37=M13))"),4.472)</f>
        <v>4.472</v>
      </c>
      <c r="P13" s="12">
        <f t="shared" si="2"/>
        <v>3.472</v>
      </c>
    </row>
    <row r="14" ht="22.5" customHeight="1">
      <c r="A14" s="28" t="s">
        <v>831</v>
      </c>
      <c r="B14" s="8" t="s">
        <v>19</v>
      </c>
      <c r="C14" s="9">
        <v>3.1</v>
      </c>
      <c r="D14" s="8" t="s">
        <v>20</v>
      </c>
      <c r="E14" s="7">
        <v>39.0</v>
      </c>
      <c r="F14" s="7">
        <v>22.0</v>
      </c>
      <c r="G14" s="7">
        <v>44.0</v>
      </c>
      <c r="H14" s="10">
        <v>20.0</v>
      </c>
      <c r="I14" s="10">
        <v>5.385</v>
      </c>
      <c r="J14" s="10" t="s">
        <v>832</v>
      </c>
      <c r="K14" s="11" t="str">
        <f t="shared" si="1"/>
        <v>Floor 5|3.1</v>
      </c>
    </row>
    <row r="15" ht="22.5" customHeight="1">
      <c r="A15" s="28" t="s">
        <v>833</v>
      </c>
      <c r="B15" s="8" t="s">
        <v>19</v>
      </c>
      <c r="C15" s="9">
        <v>3.1</v>
      </c>
      <c r="D15" s="8" t="s">
        <v>20</v>
      </c>
      <c r="E15" s="7">
        <v>39.0</v>
      </c>
      <c r="F15" s="7">
        <v>22.0</v>
      </c>
      <c r="G15" s="7">
        <v>45.0</v>
      </c>
      <c r="H15" s="10">
        <v>19.0</v>
      </c>
      <c r="I15" s="10">
        <v>6.708</v>
      </c>
      <c r="J15" s="10" t="s">
        <v>834</v>
      </c>
      <c r="K15" s="11" t="str">
        <f t="shared" si="1"/>
        <v>Floor 5|3.1</v>
      </c>
    </row>
    <row r="16" ht="22.5" customHeight="1">
      <c r="A16" s="28" t="s">
        <v>835</v>
      </c>
      <c r="B16" s="8" t="s">
        <v>19</v>
      </c>
      <c r="C16" s="9">
        <v>3.1</v>
      </c>
      <c r="D16" s="8" t="s">
        <v>20</v>
      </c>
      <c r="E16" s="7">
        <v>39.0</v>
      </c>
      <c r="F16" s="7">
        <v>22.0</v>
      </c>
      <c r="G16" s="7">
        <v>44.0</v>
      </c>
      <c r="H16" s="10">
        <v>20.0</v>
      </c>
      <c r="I16" s="10">
        <v>5.385</v>
      </c>
      <c r="J16" s="10" t="s">
        <v>836</v>
      </c>
      <c r="K16" s="11" t="str">
        <f t="shared" si="1"/>
        <v>Floor 5|3.1</v>
      </c>
    </row>
    <row r="17" ht="22.5" customHeight="1">
      <c r="A17" s="28" t="s">
        <v>837</v>
      </c>
      <c r="B17" s="8" t="s">
        <v>19</v>
      </c>
      <c r="C17" s="9">
        <v>3.2</v>
      </c>
      <c r="D17" s="8" t="s">
        <v>20</v>
      </c>
      <c r="E17" s="7">
        <v>39.0</v>
      </c>
      <c r="F17" s="7">
        <v>22.0</v>
      </c>
      <c r="G17" s="7">
        <v>32.0</v>
      </c>
      <c r="H17" s="10">
        <v>11.0</v>
      </c>
      <c r="I17" s="10">
        <v>13.038</v>
      </c>
      <c r="J17" s="10" t="s">
        <v>838</v>
      </c>
      <c r="K17" s="11" t="str">
        <f t="shared" si="1"/>
        <v>Floor 5|3.2</v>
      </c>
    </row>
    <row r="18" ht="22.5" customHeight="1">
      <c r="A18" s="28" t="s">
        <v>839</v>
      </c>
      <c r="B18" s="8" t="s">
        <v>19</v>
      </c>
      <c r="C18" s="9">
        <v>3.2</v>
      </c>
      <c r="D18" s="8" t="s">
        <v>20</v>
      </c>
      <c r="E18" s="7">
        <v>39.0</v>
      </c>
      <c r="F18" s="7">
        <v>22.0</v>
      </c>
      <c r="G18" s="7">
        <v>32.0</v>
      </c>
      <c r="H18" s="10">
        <v>23.0</v>
      </c>
      <c r="I18" s="10">
        <v>7.071</v>
      </c>
      <c r="J18" s="10" t="s">
        <v>840</v>
      </c>
      <c r="K18" s="11" t="str">
        <f t="shared" si="1"/>
        <v>Floor 5|3.2</v>
      </c>
    </row>
    <row r="19" ht="22.5" customHeight="1">
      <c r="A19" s="28" t="s">
        <v>841</v>
      </c>
      <c r="B19" s="8" t="s">
        <v>19</v>
      </c>
      <c r="C19" s="9">
        <v>3.2</v>
      </c>
      <c r="D19" s="8" t="s">
        <v>20</v>
      </c>
      <c r="E19" s="7">
        <v>39.0</v>
      </c>
      <c r="F19" s="7">
        <v>22.0</v>
      </c>
      <c r="G19" s="7">
        <v>31.0</v>
      </c>
      <c r="H19" s="10">
        <v>21.0</v>
      </c>
      <c r="I19" s="10">
        <v>12.806</v>
      </c>
      <c r="J19" s="10" t="s">
        <v>842</v>
      </c>
      <c r="K19" s="11" t="str">
        <f t="shared" si="1"/>
        <v>Floor 5|3.2</v>
      </c>
    </row>
    <row r="20" ht="22.5" customHeight="1">
      <c r="A20" s="28" t="s">
        <v>843</v>
      </c>
      <c r="B20" s="8" t="s">
        <v>19</v>
      </c>
      <c r="C20" s="9">
        <v>4.1</v>
      </c>
      <c r="D20" s="8" t="s">
        <v>20</v>
      </c>
      <c r="E20" s="7">
        <v>42.0</v>
      </c>
      <c r="F20" s="7">
        <v>29.0</v>
      </c>
      <c r="G20" s="7">
        <v>35.0</v>
      </c>
      <c r="H20" s="10">
        <v>22.0</v>
      </c>
      <c r="I20" s="10">
        <v>9.899</v>
      </c>
      <c r="J20" s="10" t="s">
        <v>844</v>
      </c>
      <c r="K20" s="11" t="str">
        <f t="shared" si="1"/>
        <v>Floor 5|4.1</v>
      </c>
    </row>
    <row r="21" ht="22.5" customHeight="1">
      <c r="A21" s="28" t="s">
        <v>845</v>
      </c>
      <c r="B21" s="8" t="s">
        <v>19</v>
      </c>
      <c r="C21" s="9">
        <v>4.1</v>
      </c>
      <c r="D21" s="8" t="s">
        <v>20</v>
      </c>
      <c r="E21" s="7">
        <v>42.0</v>
      </c>
      <c r="F21" s="7">
        <v>29.0</v>
      </c>
      <c r="G21" s="7">
        <v>34.0</v>
      </c>
      <c r="H21" s="10">
        <v>21.0</v>
      </c>
      <c r="I21" s="10">
        <v>11.314</v>
      </c>
      <c r="J21" s="10" t="s">
        <v>846</v>
      </c>
      <c r="K21" s="11" t="str">
        <f t="shared" si="1"/>
        <v>Floor 5|4.1</v>
      </c>
    </row>
    <row r="22" ht="22.5" customHeight="1">
      <c r="A22" s="28" t="s">
        <v>847</v>
      </c>
      <c r="B22" s="8" t="s">
        <v>19</v>
      </c>
      <c r="C22" s="9">
        <v>4.1</v>
      </c>
      <c r="D22" s="8" t="s">
        <v>20</v>
      </c>
      <c r="E22" s="7">
        <v>42.0</v>
      </c>
      <c r="F22" s="7">
        <v>29.0</v>
      </c>
      <c r="G22" s="7">
        <v>33.0</v>
      </c>
      <c r="H22" s="10">
        <v>21.0</v>
      </c>
      <c r="I22" s="10">
        <v>12.042</v>
      </c>
      <c r="J22" s="10" t="s">
        <v>848</v>
      </c>
      <c r="K22" s="11" t="str">
        <f t="shared" si="1"/>
        <v>Floor 5|4.1</v>
      </c>
    </row>
    <row r="23" ht="22.5" customHeight="1">
      <c r="A23" s="28" t="s">
        <v>849</v>
      </c>
      <c r="B23" s="8" t="s">
        <v>19</v>
      </c>
      <c r="C23" s="9">
        <v>4.2</v>
      </c>
      <c r="D23" s="8" t="s">
        <v>20</v>
      </c>
      <c r="E23" s="7">
        <v>42.0</v>
      </c>
      <c r="F23" s="7">
        <v>29.0</v>
      </c>
      <c r="G23" s="7">
        <v>32.0</v>
      </c>
      <c r="H23" s="10">
        <v>12.0</v>
      </c>
      <c r="I23" s="10">
        <v>19.723</v>
      </c>
      <c r="J23" s="10" t="s">
        <v>850</v>
      </c>
      <c r="K23" s="11" t="str">
        <f t="shared" si="1"/>
        <v>Floor 5|4.2</v>
      </c>
    </row>
    <row r="24" ht="22.5" customHeight="1">
      <c r="A24" s="28" t="s">
        <v>851</v>
      </c>
      <c r="B24" s="8" t="s">
        <v>19</v>
      </c>
      <c r="C24" s="9">
        <v>4.2</v>
      </c>
      <c r="D24" s="8" t="s">
        <v>20</v>
      </c>
      <c r="E24" s="7">
        <v>42.0</v>
      </c>
      <c r="F24" s="7">
        <v>29.0</v>
      </c>
      <c r="G24" s="7">
        <v>32.0</v>
      </c>
      <c r="H24" s="10">
        <v>12.0</v>
      </c>
      <c r="I24" s="10">
        <v>19.723</v>
      </c>
      <c r="J24" s="10" t="s">
        <v>852</v>
      </c>
      <c r="K24" s="11" t="str">
        <f t="shared" si="1"/>
        <v>Floor 5|4.2</v>
      </c>
    </row>
    <row r="25" ht="22.5" customHeight="1">
      <c r="A25" s="28" t="s">
        <v>853</v>
      </c>
      <c r="B25" s="8" t="s">
        <v>19</v>
      </c>
      <c r="C25" s="9">
        <v>4.2</v>
      </c>
      <c r="D25" s="8" t="s">
        <v>20</v>
      </c>
      <c r="E25" s="7">
        <v>42.0</v>
      </c>
      <c r="F25" s="7">
        <v>29.0</v>
      </c>
      <c r="G25" s="7">
        <v>32.0</v>
      </c>
      <c r="H25" s="10">
        <v>12.0</v>
      </c>
      <c r="I25" s="10">
        <v>19.723</v>
      </c>
      <c r="J25" s="10" t="s">
        <v>854</v>
      </c>
      <c r="K25" s="11" t="str">
        <f t="shared" si="1"/>
        <v>Floor 5|4.2</v>
      </c>
    </row>
    <row r="26" ht="22.5" customHeight="1">
      <c r="A26" s="28" t="s">
        <v>855</v>
      </c>
      <c r="B26" s="8" t="s">
        <v>19</v>
      </c>
      <c r="C26" s="9">
        <v>5.1</v>
      </c>
      <c r="D26" s="8" t="s">
        <v>20</v>
      </c>
      <c r="E26" s="7">
        <v>46.0</v>
      </c>
      <c r="F26" s="7">
        <v>30.0</v>
      </c>
      <c r="G26" s="7">
        <v>44.0</v>
      </c>
      <c r="H26" s="10">
        <v>30.0</v>
      </c>
      <c r="I26" s="10">
        <v>2.0</v>
      </c>
      <c r="J26" s="10" t="s">
        <v>856</v>
      </c>
      <c r="K26" s="11" t="str">
        <f t="shared" si="1"/>
        <v>Floor 5|5.1</v>
      </c>
    </row>
    <row r="27" ht="22.5" customHeight="1">
      <c r="A27" s="28" t="s">
        <v>857</v>
      </c>
      <c r="B27" s="8" t="s">
        <v>19</v>
      </c>
      <c r="C27" s="9">
        <v>5.1</v>
      </c>
      <c r="D27" s="8" t="s">
        <v>20</v>
      </c>
      <c r="E27" s="7">
        <v>46.0</v>
      </c>
      <c r="F27" s="7">
        <v>30.0</v>
      </c>
      <c r="G27" s="7">
        <v>42.0</v>
      </c>
      <c r="H27" s="10">
        <v>30.0</v>
      </c>
      <c r="I27" s="10">
        <v>4.0</v>
      </c>
      <c r="J27" s="10" t="s">
        <v>858</v>
      </c>
      <c r="K27" s="11" t="str">
        <f t="shared" si="1"/>
        <v>Floor 5|5.1</v>
      </c>
    </row>
    <row r="28" ht="22.5" customHeight="1">
      <c r="A28" s="28" t="s">
        <v>859</v>
      </c>
      <c r="B28" s="8" t="s">
        <v>19</v>
      </c>
      <c r="C28" s="9">
        <v>5.1</v>
      </c>
      <c r="D28" s="8" t="s">
        <v>20</v>
      </c>
      <c r="E28" s="7">
        <v>46.0</v>
      </c>
      <c r="F28" s="7">
        <v>30.0</v>
      </c>
      <c r="G28" s="7">
        <v>42.0</v>
      </c>
      <c r="H28" s="10">
        <v>31.0</v>
      </c>
      <c r="I28" s="10">
        <v>4.123</v>
      </c>
      <c r="J28" s="10" t="s">
        <v>860</v>
      </c>
      <c r="K28" s="11" t="str">
        <f t="shared" si="1"/>
        <v>Floor 5|5.1</v>
      </c>
    </row>
    <row r="29" ht="22.5" customHeight="1">
      <c r="A29" s="28" t="s">
        <v>861</v>
      </c>
      <c r="B29" s="8" t="s">
        <v>19</v>
      </c>
      <c r="C29" s="9">
        <v>5.2</v>
      </c>
      <c r="D29" s="8" t="s">
        <v>20</v>
      </c>
      <c r="E29" s="7">
        <v>46.0</v>
      </c>
      <c r="F29" s="7">
        <v>30.0</v>
      </c>
      <c r="G29" s="7">
        <v>48.0</v>
      </c>
      <c r="H29" s="10">
        <v>29.0</v>
      </c>
      <c r="I29" s="10">
        <v>2.236</v>
      </c>
      <c r="J29" s="10" t="s">
        <v>862</v>
      </c>
      <c r="K29" s="11" t="str">
        <f t="shared" si="1"/>
        <v>Floor 5|5.2</v>
      </c>
    </row>
    <row r="30" ht="22.5" customHeight="1">
      <c r="A30" s="28" t="s">
        <v>863</v>
      </c>
      <c r="B30" s="8" t="s">
        <v>19</v>
      </c>
      <c r="C30" s="9">
        <v>5.2</v>
      </c>
      <c r="D30" s="8" t="s">
        <v>20</v>
      </c>
      <c r="E30" s="7">
        <v>46.0</v>
      </c>
      <c r="F30" s="7">
        <v>30.0</v>
      </c>
      <c r="G30" s="7">
        <v>49.0</v>
      </c>
      <c r="H30" s="10">
        <v>30.0</v>
      </c>
      <c r="I30" s="10">
        <v>3.0</v>
      </c>
      <c r="J30" s="10" t="s">
        <v>864</v>
      </c>
      <c r="K30" s="11" t="str">
        <f t="shared" si="1"/>
        <v>Floor 5|5.2</v>
      </c>
    </row>
    <row r="31" ht="22.5" customHeight="1">
      <c r="A31" s="28" t="s">
        <v>865</v>
      </c>
      <c r="B31" s="8" t="s">
        <v>19</v>
      </c>
      <c r="C31" s="9">
        <v>5.2</v>
      </c>
      <c r="D31" s="8" t="s">
        <v>20</v>
      </c>
      <c r="E31" s="7">
        <v>46.0</v>
      </c>
      <c r="F31" s="7">
        <v>30.0</v>
      </c>
      <c r="G31" s="7">
        <v>48.0</v>
      </c>
      <c r="H31" s="10">
        <v>30.0</v>
      </c>
      <c r="I31" s="10">
        <v>2.0</v>
      </c>
      <c r="J31" s="10" t="s">
        <v>866</v>
      </c>
      <c r="K31" s="11" t="str">
        <f t="shared" si="1"/>
        <v>Floor 5|5.2</v>
      </c>
    </row>
    <row r="32" ht="22.5" customHeight="1">
      <c r="A32" s="28" t="s">
        <v>867</v>
      </c>
      <c r="B32" s="8" t="s">
        <v>19</v>
      </c>
      <c r="C32" s="9">
        <v>6.1</v>
      </c>
      <c r="D32" s="8" t="s">
        <v>20</v>
      </c>
      <c r="E32" s="7">
        <v>48.0</v>
      </c>
      <c r="F32" s="7">
        <v>27.0</v>
      </c>
      <c r="G32" s="7">
        <v>43.0</v>
      </c>
      <c r="H32" s="10">
        <v>30.0</v>
      </c>
      <c r="I32" s="10">
        <v>5.831</v>
      </c>
      <c r="J32" s="10" t="s">
        <v>868</v>
      </c>
      <c r="K32" s="11" t="str">
        <f t="shared" si="1"/>
        <v>Floor 5|6.1</v>
      </c>
    </row>
    <row r="33" ht="22.5" customHeight="1">
      <c r="A33" s="28" t="s">
        <v>869</v>
      </c>
      <c r="B33" s="8" t="s">
        <v>19</v>
      </c>
      <c r="C33" s="9">
        <v>6.1</v>
      </c>
      <c r="D33" s="8" t="s">
        <v>20</v>
      </c>
      <c r="E33" s="7">
        <v>48.0</v>
      </c>
      <c r="F33" s="7">
        <v>27.0</v>
      </c>
      <c r="G33" s="7">
        <v>45.0</v>
      </c>
      <c r="H33" s="10">
        <v>30.0</v>
      </c>
      <c r="I33" s="10">
        <v>4.243</v>
      </c>
      <c r="J33" s="10" t="s">
        <v>870</v>
      </c>
      <c r="K33" s="11" t="str">
        <f t="shared" si="1"/>
        <v>Floor 5|6.1</v>
      </c>
    </row>
    <row r="34" ht="22.5" customHeight="1">
      <c r="A34" s="28" t="s">
        <v>871</v>
      </c>
      <c r="B34" s="8" t="s">
        <v>19</v>
      </c>
      <c r="C34" s="9">
        <v>6.1</v>
      </c>
      <c r="D34" s="8" t="s">
        <v>20</v>
      </c>
      <c r="E34" s="7">
        <v>48.0</v>
      </c>
      <c r="F34" s="7">
        <v>27.0</v>
      </c>
      <c r="G34" s="7">
        <v>44.0</v>
      </c>
      <c r="H34" s="10">
        <v>30.0</v>
      </c>
      <c r="I34" s="10">
        <v>5.0</v>
      </c>
      <c r="J34" s="10" t="s">
        <v>872</v>
      </c>
      <c r="K34" s="11" t="str">
        <f t="shared" si="1"/>
        <v>Floor 5|6.1</v>
      </c>
    </row>
    <row r="35" ht="22.5" customHeight="1">
      <c r="A35" s="28" t="s">
        <v>873</v>
      </c>
      <c r="B35" s="8" t="s">
        <v>19</v>
      </c>
      <c r="C35" s="9">
        <v>6.2</v>
      </c>
      <c r="D35" s="8" t="s">
        <v>20</v>
      </c>
      <c r="E35" s="7">
        <v>48.0</v>
      </c>
      <c r="F35" s="7">
        <v>27.0</v>
      </c>
      <c r="G35" s="7">
        <v>48.0</v>
      </c>
      <c r="H35" s="10">
        <v>30.0</v>
      </c>
      <c r="I35" s="10">
        <v>3.0</v>
      </c>
      <c r="J35" s="10" t="s">
        <v>874</v>
      </c>
      <c r="K35" s="11" t="str">
        <f t="shared" si="1"/>
        <v>Floor 5|6.2</v>
      </c>
    </row>
    <row r="36" ht="22.5" customHeight="1">
      <c r="A36" s="28" t="s">
        <v>875</v>
      </c>
      <c r="B36" s="8" t="s">
        <v>19</v>
      </c>
      <c r="C36" s="9">
        <v>6.2</v>
      </c>
      <c r="D36" s="8" t="s">
        <v>20</v>
      </c>
      <c r="E36" s="7">
        <v>48.0</v>
      </c>
      <c r="F36" s="7">
        <v>27.0</v>
      </c>
      <c r="G36" s="7">
        <v>48.0</v>
      </c>
      <c r="H36" s="10">
        <v>28.0</v>
      </c>
      <c r="I36" s="10">
        <v>1.0</v>
      </c>
      <c r="J36" s="10" t="s">
        <v>876</v>
      </c>
      <c r="K36" s="11" t="str">
        <f t="shared" si="1"/>
        <v>Floor 5|6.2</v>
      </c>
    </row>
    <row r="37" ht="22.5" customHeight="1">
      <c r="A37" s="28" t="s">
        <v>877</v>
      </c>
      <c r="B37" s="8" t="s">
        <v>19</v>
      </c>
      <c r="C37" s="9">
        <v>6.2</v>
      </c>
      <c r="D37" s="8" t="s">
        <v>20</v>
      </c>
      <c r="E37" s="7">
        <v>48.0</v>
      </c>
      <c r="F37" s="7">
        <v>27.0</v>
      </c>
      <c r="G37" s="7">
        <v>46.0</v>
      </c>
      <c r="H37" s="10">
        <v>31.0</v>
      </c>
      <c r="I37" s="10">
        <v>4.472</v>
      </c>
      <c r="J37" s="10" t="s">
        <v>878</v>
      </c>
      <c r="K37" s="11" t="str">
        <f t="shared" si="1"/>
        <v>Floor 5|6.2</v>
      </c>
    </row>
  </sheetData>
  <dataValidations>
    <dataValidation type="list" allowBlank="1" sqref="B2:B37">
      <formula1>"Floor 3,Floor 5"</formula1>
    </dataValidation>
    <dataValidation type="list" allowBlank="1" sqref="D2:D37">
      <formula1>"Wide,Panorama"</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22.63"/>
    <col customWidth="1" min="8" max="8" width="18.38"/>
    <col customWidth="1" min="9" max="9" width="24.25"/>
    <col customWidth="1" min="10" max="10" width="27.38"/>
  </cols>
  <sheetData>
    <row r="1" ht="22.5" customHeight="1">
      <c r="A1" s="2" t="s">
        <v>0</v>
      </c>
      <c r="B1" s="2" t="s">
        <v>1</v>
      </c>
      <c r="C1" s="2" t="s">
        <v>2</v>
      </c>
      <c r="D1" s="2" t="s">
        <v>3</v>
      </c>
      <c r="E1" s="2" t="s">
        <v>4</v>
      </c>
      <c r="F1" s="2" t="s">
        <v>5</v>
      </c>
      <c r="G1" s="2" t="s">
        <v>6</v>
      </c>
      <c r="H1" s="2" t="s">
        <v>7</v>
      </c>
      <c r="I1" s="3" t="s">
        <v>8</v>
      </c>
      <c r="J1" s="3" t="s">
        <v>9</v>
      </c>
      <c r="K1" s="4" t="s">
        <v>289</v>
      </c>
    </row>
    <row r="2" ht="22.5" customHeight="1">
      <c r="A2" s="28" t="s">
        <v>879</v>
      </c>
      <c r="B2" s="8" t="s">
        <v>19</v>
      </c>
      <c r="C2" s="9">
        <v>1.1</v>
      </c>
      <c r="D2" s="8" t="s">
        <v>20</v>
      </c>
      <c r="E2" s="7">
        <v>39.0</v>
      </c>
      <c r="F2" s="7">
        <v>15.0</v>
      </c>
      <c r="G2" s="7">
        <v>37.0</v>
      </c>
      <c r="H2" s="10">
        <v>17.0</v>
      </c>
      <c r="I2" s="10">
        <v>2.828</v>
      </c>
      <c r="J2" s="10" t="s">
        <v>880</v>
      </c>
      <c r="K2" s="11" t="str">
        <f t="shared" ref="K2:K37" si="1">B2&amp;"|"&amp;C2</f>
        <v>Floor 5|1.1</v>
      </c>
      <c r="M2" s="12" t="str">
        <f t="array" ref="M2:M13">UNIQUE(K2:K37)</f>
        <v>Floor 5|1.1</v>
      </c>
      <c r="N2" s="12">
        <f>IFERROR(__xludf.DUMMYFUNCTION("MIN(FILTER($I$2:$I37,$K$2:$K37=M2))"),2.828)</f>
        <v>2.828</v>
      </c>
      <c r="O2" s="12">
        <f>IFERROR(__xludf.DUMMYFUNCTION("MAX(FILTER($I$2:$I37,$K$2:$K37=M2))"),4.472)</f>
        <v>4.472</v>
      </c>
      <c r="P2" s="12">
        <f t="shared" ref="P2:P13" si="2">O2-N2</f>
        <v>1.644</v>
      </c>
      <c r="R2" s="12">
        <f>COUNTIF(P2:P37,"&gt;0")</f>
        <v>11</v>
      </c>
      <c r="S2" s="12">
        <f>COUNTIF(P2:P37,"&gt;0")/COUNTA(M2:M37)</f>
        <v>0.9166666667</v>
      </c>
    </row>
    <row r="3" ht="22.5" customHeight="1">
      <c r="A3" s="28" t="s">
        <v>881</v>
      </c>
      <c r="B3" s="8" t="s">
        <v>19</v>
      </c>
      <c r="C3" s="9">
        <v>1.1</v>
      </c>
      <c r="D3" s="8" t="s">
        <v>20</v>
      </c>
      <c r="E3" s="7">
        <v>39.0</v>
      </c>
      <c r="F3" s="7">
        <v>15.0</v>
      </c>
      <c r="G3" s="7">
        <v>37.0</v>
      </c>
      <c r="H3" s="10">
        <v>18.0</v>
      </c>
      <c r="I3" s="10">
        <v>4.472</v>
      </c>
      <c r="J3" s="10" t="s">
        <v>882</v>
      </c>
      <c r="K3" s="11" t="str">
        <f t="shared" si="1"/>
        <v>Floor 5|1.1</v>
      </c>
      <c r="M3" s="12" t="s">
        <v>24</v>
      </c>
      <c r="N3" s="12">
        <f>IFERROR(__xludf.DUMMYFUNCTION("MIN(FILTER($I$2:$I37,$K$2:$K37=M3))"),2.828)</f>
        <v>2.828</v>
      </c>
      <c r="O3" s="12">
        <f>IFERROR(__xludf.DUMMYFUNCTION("MAX(FILTER($I$2:$I37,$K$2:$K37=M3))"),5.385)</f>
        <v>5.385</v>
      </c>
      <c r="P3" s="12">
        <f t="shared" si="2"/>
        <v>2.557</v>
      </c>
      <c r="R3" s="12">
        <f>COUNTIF(P2:P37,"&gt;1")</f>
        <v>7</v>
      </c>
      <c r="S3" s="12">
        <f>COUNTIF(P2:P37,"&gt;1")/COUNTA(M2:M37)</f>
        <v>0.5833333333</v>
      </c>
    </row>
    <row r="4" ht="22.5" customHeight="1">
      <c r="A4" s="28" t="s">
        <v>883</v>
      </c>
      <c r="B4" s="8" t="s">
        <v>19</v>
      </c>
      <c r="C4" s="9">
        <v>1.1</v>
      </c>
      <c r="D4" s="8" t="s">
        <v>20</v>
      </c>
      <c r="E4" s="7">
        <v>39.0</v>
      </c>
      <c r="F4" s="7">
        <v>15.0</v>
      </c>
      <c r="G4" s="7">
        <v>37.0</v>
      </c>
      <c r="H4" s="10">
        <v>18.0</v>
      </c>
      <c r="I4" s="10">
        <v>4.472</v>
      </c>
      <c r="J4" s="10" t="s">
        <v>884</v>
      </c>
      <c r="K4" s="11" t="str">
        <f t="shared" si="1"/>
        <v>Floor 5|1.1</v>
      </c>
      <c r="M4" s="12" t="s">
        <v>30</v>
      </c>
      <c r="N4" s="12">
        <f>IFERROR(__xludf.DUMMYFUNCTION("MIN(FILTER($I$2:$I37,$K$2:$K37=M4))"),3.0)</f>
        <v>3</v>
      </c>
      <c r="O4" s="12">
        <f>IFERROR(__xludf.DUMMYFUNCTION("MAX(FILTER($I$2:$I37,$K$2:$K37=M4))"),5.099)</f>
        <v>5.099</v>
      </c>
      <c r="P4" s="12">
        <f t="shared" si="2"/>
        <v>2.099</v>
      </c>
      <c r="R4" s="12">
        <f>COUNTIF(P2:P37,"&gt;3")</f>
        <v>1</v>
      </c>
      <c r="S4" s="12">
        <f>COUNTIF(P2:P37,"&gt;3")/COUNTA(M2:M37)</f>
        <v>0.08333333333</v>
      </c>
    </row>
    <row r="5" ht="22.5" customHeight="1">
      <c r="A5" s="28" t="s">
        <v>885</v>
      </c>
      <c r="B5" s="8" t="s">
        <v>19</v>
      </c>
      <c r="C5" s="9">
        <v>1.2</v>
      </c>
      <c r="D5" s="8" t="s">
        <v>20</v>
      </c>
      <c r="E5" s="7">
        <v>39.0</v>
      </c>
      <c r="F5" s="7">
        <v>15.0</v>
      </c>
      <c r="G5" s="7">
        <v>37.0</v>
      </c>
      <c r="H5" s="10">
        <v>17.0</v>
      </c>
      <c r="I5" s="10">
        <v>4.243</v>
      </c>
      <c r="J5" s="10" t="s">
        <v>886</v>
      </c>
      <c r="K5" s="11" t="str">
        <f t="shared" si="1"/>
        <v>Floor 5|1.2</v>
      </c>
      <c r="M5" s="12" t="s">
        <v>33</v>
      </c>
      <c r="N5" s="12">
        <f>IFERROR(__xludf.DUMMYFUNCTION("MIN(FILTER($I$2:$I37,$K$2:$K37=M5))"),1.0)</f>
        <v>1</v>
      </c>
      <c r="O5" s="12">
        <f>IFERROR(__xludf.DUMMYFUNCTION("MAX(FILTER($I$2:$I37,$K$2:$K37=M5))"),2.0)</f>
        <v>2</v>
      </c>
      <c r="P5" s="12">
        <f t="shared" si="2"/>
        <v>1</v>
      </c>
      <c r="R5" s="12">
        <f>COUNTIF(P2:P37,"&gt;5")</f>
        <v>0</v>
      </c>
      <c r="S5" s="12">
        <f>COUNTIF(P2:P37,"&gt;5")/COUNTA(M2:M37)</f>
        <v>0</v>
      </c>
    </row>
    <row r="6" ht="22.5" customHeight="1">
      <c r="A6" s="28" t="s">
        <v>887</v>
      </c>
      <c r="B6" s="8" t="s">
        <v>19</v>
      </c>
      <c r="C6" s="9">
        <v>1.2</v>
      </c>
      <c r="D6" s="8" t="s">
        <v>20</v>
      </c>
      <c r="E6" s="7">
        <v>39.0</v>
      </c>
      <c r="F6" s="7">
        <v>15.0</v>
      </c>
      <c r="G6" s="7">
        <v>34.0</v>
      </c>
      <c r="H6" s="10">
        <v>17.0</v>
      </c>
      <c r="I6" s="10">
        <v>5.385</v>
      </c>
      <c r="J6" s="10" t="s">
        <v>888</v>
      </c>
      <c r="K6" s="11" t="str">
        <f t="shared" si="1"/>
        <v>Floor 5|1.2</v>
      </c>
      <c r="M6" s="12" t="s">
        <v>41</v>
      </c>
      <c r="N6" s="12">
        <f>IFERROR(__xludf.DUMMYFUNCTION("MIN(FILTER($I$2:$I37,$K$2:$K37=M6))"),3.606)</f>
        <v>3.606</v>
      </c>
      <c r="O6" s="12">
        <f>IFERROR(__xludf.DUMMYFUNCTION("MAX(FILTER($I$2:$I37,$K$2:$K37=M6))"),7.28)</f>
        <v>7.28</v>
      </c>
      <c r="P6" s="12">
        <f t="shared" si="2"/>
        <v>3.674</v>
      </c>
      <c r="R6" s="12">
        <f>COUNTIF(P3:P37,"&gt;10")</f>
        <v>0</v>
      </c>
      <c r="S6" s="12">
        <f>COUNTIF(P3:P37,"&gt;10")/COUNTA(M3:M37)</f>
        <v>0</v>
      </c>
    </row>
    <row r="7" ht="22.5" customHeight="1">
      <c r="A7" s="28" t="s">
        <v>889</v>
      </c>
      <c r="B7" s="8" t="s">
        <v>19</v>
      </c>
      <c r="C7" s="9">
        <v>1.2</v>
      </c>
      <c r="D7" s="8" t="s">
        <v>20</v>
      </c>
      <c r="E7" s="7">
        <v>39.0</v>
      </c>
      <c r="F7" s="7">
        <v>15.0</v>
      </c>
      <c r="G7" s="7">
        <v>37.0</v>
      </c>
      <c r="H7" s="10">
        <v>17.0</v>
      </c>
      <c r="I7" s="10">
        <v>2.828</v>
      </c>
      <c r="J7" s="10" t="s">
        <v>890</v>
      </c>
      <c r="K7" s="11" t="str">
        <f t="shared" si="1"/>
        <v>Floor 5|1.2</v>
      </c>
      <c r="M7" s="12" t="s">
        <v>44</v>
      </c>
      <c r="N7" s="12">
        <f>IFERROR(__xludf.DUMMYFUNCTION("MIN(FILTER($I$2:$I37,$K$2:$K37=M7))"),11.662)</f>
        <v>11.662</v>
      </c>
      <c r="O7" s="12">
        <f>IFERROR(__xludf.DUMMYFUNCTION("MAX(FILTER($I$2:$I37,$K$2:$K37=M7))"),12.207)</f>
        <v>12.207</v>
      </c>
      <c r="P7" s="12">
        <f t="shared" si="2"/>
        <v>0.545</v>
      </c>
    </row>
    <row r="8" ht="22.5" customHeight="1">
      <c r="A8" s="28" t="s">
        <v>891</v>
      </c>
      <c r="B8" s="8" t="s">
        <v>19</v>
      </c>
      <c r="C8" s="9">
        <v>2.1</v>
      </c>
      <c r="D8" s="8" t="s">
        <v>20</v>
      </c>
      <c r="E8" s="7">
        <v>44.0</v>
      </c>
      <c r="F8" s="7">
        <v>16.0</v>
      </c>
      <c r="G8" s="7">
        <v>45.0</v>
      </c>
      <c r="H8" s="10">
        <v>21.0</v>
      </c>
      <c r="I8" s="10">
        <v>5.099</v>
      </c>
      <c r="J8" s="10" t="s">
        <v>892</v>
      </c>
      <c r="K8" s="11" t="str">
        <f t="shared" si="1"/>
        <v>Floor 5|2.1</v>
      </c>
      <c r="M8" s="12" t="s">
        <v>50</v>
      </c>
      <c r="N8" s="12">
        <f>IFERROR(__xludf.DUMMYFUNCTION("MIN(FILTER($I$2:$I37,$K$2:$K37=M8))"),8.602)</f>
        <v>8.602</v>
      </c>
      <c r="O8" s="12">
        <f>IFERROR(__xludf.DUMMYFUNCTION("MAX(FILTER($I$2:$I37,$K$2:$K37=M8))"),10.0)</f>
        <v>10</v>
      </c>
      <c r="P8" s="12">
        <f t="shared" si="2"/>
        <v>1.398</v>
      </c>
    </row>
    <row r="9" ht="22.5" customHeight="1">
      <c r="A9" s="28" t="s">
        <v>893</v>
      </c>
      <c r="B9" s="8" t="s">
        <v>19</v>
      </c>
      <c r="C9" s="9">
        <v>2.1</v>
      </c>
      <c r="D9" s="8" t="s">
        <v>20</v>
      </c>
      <c r="E9" s="7">
        <v>44.0</v>
      </c>
      <c r="F9" s="7">
        <v>16.0</v>
      </c>
      <c r="G9" s="7">
        <v>44.0</v>
      </c>
      <c r="H9" s="10">
        <v>19.0</v>
      </c>
      <c r="I9" s="10">
        <v>3.0</v>
      </c>
      <c r="J9" s="10" t="s">
        <v>894</v>
      </c>
      <c r="K9" s="11" t="str">
        <f t="shared" si="1"/>
        <v>Floor 5|2.1</v>
      </c>
      <c r="M9" s="12" t="s">
        <v>53</v>
      </c>
      <c r="N9" s="12">
        <f>IFERROR(__xludf.DUMMYFUNCTION("MIN(FILTER($I$2:$I37,$K$2:$K37=M9))"),19.723)</f>
        <v>19.723</v>
      </c>
      <c r="O9" s="12">
        <f>IFERROR(__xludf.DUMMYFUNCTION("MAX(FILTER($I$2:$I37,$K$2:$K37=M9))"),19.723)</f>
        <v>19.723</v>
      </c>
      <c r="P9" s="12">
        <f t="shared" si="2"/>
        <v>0</v>
      </c>
    </row>
    <row r="10" ht="22.5" customHeight="1">
      <c r="A10" s="28" t="s">
        <v>895</v>
      </c>
      <c r="B10" s="8" t="s">
        <v>19</v>
      </c>
      <c r="C10" s="9">
        <v>2.1</v>
      </c>
      <c r="D10" s="8" t="s">
        <v>20</v>
      </c>
      <c r="E10" s="7">
        <v>44.0</v>
      </c>
      <c r="F10" s="7">
        <v>16.0</v>
      </c>
      <c r="G10" s="7">
        <v>44.0</v>
      </c>
      <c r="H10" s="10">
        <v>19.0</v>
      </c>
      <c r="I10" s="10">
        <v>3.0</v>
      </c>
      <c r="J10" s="10" t="s">
        <v>896</v>
      </c>
      <c r="K10" s="11" t="str">
        <f t="shared" si="1"/>
        <v>Floor 5|2.1</v>
      </c>
      <c r="M10" s="12" t="s">
        <v>59</v>
      </c>
      <c r="N10" s="12">
        <f>IFERROR(__xludf.DUMMYFUNCTION("MIN(FILTER($I$2:$I37,$K$2:$K37=M10))"),1.0)</f>
        <v>1</v>
      </c>
      <c r="O10" s="12">
        <f>IFERROR(__xludf.DUMMYFUNCTION("MAX(FILTER($I$2:$I37,$K$2:$K37=M10))"),2.0)</f>
        <v>2</v>
      </c>
      <c r="P10" s="12">
        <f t="shared" si="2"/>
        <v>1</v>
      </c>
    </row>
    <row r="11" ht="22.5" customHeight="1">
      <c r="A11" s="28" t="s">
        <v>897</v>
      </c>
      <c r="B11" s="8" t="s">
        <v>19</v>
      </c>
      <c r="C11" s="9">
        <v>2.2</v>
      </c>
      <c r="D11" s="8" t="s">
        <v>20</v>
      </c>
      <c r="E11" s="7">
        <v>44.0</v>
      </c>
      <c r="F11" s="7">
        <v>16.0</v>
      </c>
      <c r="G11" s="7">
        <v>44.0</v>
      </c>
      <c r="H11" s="10">
        <v>17.0</v>
      </c>
      <c r="I11" s="10">
        <v>1.0</v>
      </c>
      <c r="J11" s="10" t="s">
        <v>898</v>
      </c>
      <c r="K11" s="11" t="str">
        <f t="shared" si="1"/>
        <v>Floor 5|2.2</v>
      </c>
      <c r="M11" s="12" t="s">
        <v>62</v>
      </c>
      <c r="N11" s="12">
        <f>IFERROR(__xludf.DUMMYFUNCTION("MIN(FILTER($I$2:$I37,$K$2:$K37=M11))"),2.0)</f>
        <v>2</v>
      </c>
      <c r="O11" s="12">
        <f>IFERROR(__xludf.DUMMYFUNCTION("MAX(FILTER($I$2:$I37,$K$2:$K37=M11))"),3.162)</f>
        <v>3.162</v>
      </c>
      <c r="P11" s="12">
        <f t="shared" si="2"/>
        <v>1.162</v>
      </c>
    </row>
    <row r="12" ht="22.5" customHeight="1">
      <c r="A12" s="28" t="s">
        <v>899</v>
      </c>
      <c r="B12" s="8" t="s">
        <v>19</v>
      </c>
      <c r="C12" s="9">
        <v>2.2</v>
      </c>
      <c r="D12" s="8" t="s">
        <v>20</v>
      </c>
      <c r="E12" s="7">
        <v>44.0</v>
      </c>
      <c r="F12" s="7">
        <v>16.0</v>
      </c>
      <c r="G12" s="7">
        <v>43.0</v>
      </c>
      <c r="H12" s="10">
        <v>16.0</v>
      </c>
      <c r="I12" s="10">
        <v>1.0</v>
      </c>
      <c r="J12" s="10" t="s">
        <v>900</v>
      </c>
      <c r="K12" s="11" t="str">
        <f t="shared" si="1"/>
        <v>Floor 5|2.2</v>
      </c>
      <c r="M12" s="12" t="s">
        <v>69</v>
      </c>
      <c r="N12" s="12">
        <f>IFERROR(__xludf.DUMMYFUNCTION("MIN(FILTER($I$2:$I37,$K$2:$K37=M12))"),4.243)</f>
        <v>4.243</v>
      </c>
      <c r="O12" s="12">
        <f>IFERROR(__xludf.DUMMYFUNCTION("MAX(FILTER($I$2:$I37,$K$2:$K37=M12))"),6.403)</f>
        <v>6.403</v>
      </c>
      <c r="P12" s="12">
        <f t="shared" si="2"/>
        <v>2.16</v>
      </c>
    </row>
    <row r="13" ht="22.5" customHeight="1">
      <c r="A13" s="28" t="s">
        <v>901</v>
      </c>
      <c r="B13" s="8" t="s">
        <v>19</v>
      </c>
      <c r="C13" s="9">
        <v>2.2</v>
      </c>
      <c r="D13" s="8" t="s">
        <v>20</v>
      </c>
      <c r="E13" s="7">
        <v>44.0</v>
      </c>
      <c r="F13" s="7">
        <v>16.0</v>
      </c>
      <c r="G13" s="7">
        <v>42.0</v>
      </c>
      <c r="H13" s="10">
        <v>16.0</v>
      </c>
      <c r="I13" s="10">
        <v>2.0</v>
      </c>
      <c r="J13" s="10" t="s">
        <v>902</v>
      </c>
      <c r="K13" s="11" t="str">
        <f t="shared" si="1"/>
        <v>Floor 5|2.2</v>
      </c>
      <c r="M13" s="12" t="s">
        <v>72</v>
      </c>
      <c r="N13" s="12">
        <f>IFERROR(__xludf.DUMMYFUNCTION("MIN(FILTER($I$2:$I37,$K$2:$K37=M13))"),4.0)</f>
        <v>4</v>
      </c>
      <c r="O13" s="12">
        <f>IFERROR(__xludf.DUMMYFUNCTION("MAX(FILTER($I$2:$I37,$K$2:$K37=M13))"),5.0)</f>
        <v>5</v>
      </c>
      <c r="P13" s="12">
        <f t="shared" si="2"/>
        <v>1</v>
      </c>
    </row>
    <row r="14" ht="22.5" customHeight="1">
      <c r="A14" s="28" t="s">
        <v>903</v>
      </c>
      <c r="B14" s="8" t="s">
        <v>19</v>
      </c>
      <c r="C14" s="9">
        <v>3.1</v>
      </c>
      <c r="D14" s="8" t="s">
        <v>20</v>
      </c>
      <c r="E14" s="7">
        <v>39.0</v>
      </c>
      <c r="F14" s="7">
        <v>22.0</v>
      </c>
      <c r="G14" s="7">
        <v>42.0</v>
      </c>
      <c r="H14" s="10">
        <v>20.0</v>
      </c>
      <c r="I14" s="10">
        <v>3.606</v>
      </c>
      <c r="J14" s="10" t="s">
        <v>904</v>
      </c>
      <c r="K14" s="11" t="str">
        <f t="shared" si="1"/>
        <v>Floor 5|3.1</v>
      </c>
    </row>
    <row r="15" ht="22.5" customHeight="1">
      <c r="A15" s="28" t="s">
        <v>905</v>
      </c>
      <c r="B15" s="8" t="s">
        <v>19</v>
      </c>
      <c r="C15" s="9">
        <v>3.1</v>
      </c>
      <c r="D15" s="8" t="s">
        <v>20</v>
      </c>
      <c r="E15" s="7">
        <v>39.0</v>
      </c>
      <c r="F15" s="7">
        <v>22.0</v>
      </c>
      <c r="G15" s="7">
        <v>44.0</v>
      </c>
      <c r="H15" s="10">
        <v>19.0</v>
      </c>
      <c r="I15" s="10">
        <v>5.831</v>
      </c>
      <c r="J15" s="10" t="s">
        <v>906</v>
      </c>
      <c r="K15" s="11" t="str">
        <f t="shared" si="1"/>
        <v>Floor 5|3.1</v>
      </c>
    </row>
    <row r="16" ht="22.5" customHeight="1">
      <c r="A16" s="28" t="s">
        <v>907</v>
      </c>
      <c r="B16" s="8" t="s">
        <v>19</v>
      </c>
      <c r="C16" s="9">
        <v>3.1</v>
      </c>
      <c r="D16" s="8" t="s">
        <v>20</v>
      </c>
      <c r="E16" s="7">
        <v>39.0</v>
      </c>
      <c r="F16" s="7">
        <v>22.0</v>
      </c>
      <c r="G16" s="7">
        <v>46.0</v>
      </c>
      <c r="H16" s="10">
        <v>20.0</v>
      </c>
      <c r="I16" s="10">
        <v>7.28</v>
      </c>
      <c r="J16" s="10" t="s">
        <v>908</v>
      </c>
      <c r="K16" s="11" t="str">
        <f t="shared" si="1"/>
        <v>Floor 5|3.1</v>
      </c>
    </row>
    <row r="17" ht="22.5" customHeight="1">
      <c r="A17" s="28" t="s">
        <v>909</v>
      </c>
      <c r="B17" s="8" t="s">
        <v>19</v>
      </c>
      <c r="C17" s="9">
        <v>3.2</v>
      </c>
      <c r="D17" s="8" t="s">
        <v>20</v>
      </c>
      <c r="E17" s="7">
        <v>39.0</v>
      </c>
      <c r="F17" s="7">
        <v>22.0</v>
      </c>
      <c r="G17" s="7">
        <v>33.0</v>
      </c>
      <c r="H17" s="10">
        <v>12.0</v>
      </c>
      <c r="I17" s="10">
        <v>11.662</v>
      </c>
      <c r="J17" s="10" t="s">
        <v>910</v>
      </c>
      <c r="K17" s="11" t="str">
        <f t="shared" si="1"/>
        <v>Floor 5|3.2</v>
      </c>
    </row>
    <row r="18" ht="22.5" customHeight="1">
      <c r="A18" s="28" t="s">
        <v>911</v>
      </c>
      <c r="B18" s="8" t="s">
        <v>19</v>
      </c>
      <c r="C18" s="9">
        <v>3.2</v>
      </c>
      <c r="D18" s="8" t="s">
        <v>20</v>
      </c>
      <c r="E18" s="7">
        <v>39.0</v>
      </c>
      <c r="F18" s="7">
        <v>22.0</v>
      </c>
      <c r="G18" s="7">
        <v>32.0</v>
      </c>
      <c r="H18" s="10">
        <v>12.0</v>
      </c>
      <c r="I18" s="10">
        <v>12.207</v>
      </c>
      <c r="J18" s="10" t="s">
        <v>912</v>
      </c>
      <c r="K18" s="11" t="str">
        <f t="shared" si="1"/>
        <v>Floor 5|3.2</v>
      </c>
    </row>
    <row r="19" ht="22.5" customHeight="1">
      <c r="A19" s="28" t="s">
        <v>913</v>
      </c>
      <c r="B19" s="8" t="s">
        <v>19</v>
      </c>
      <c r="C19" s="9">
        <v>3.2</v>
      </c>
      <c r="D19" s="8" t="s">
        <v>20</v>
      </c>
      <c r="E19" s="7">
        <v>39.0</v>
      </c>
      <c r="F19" s="7">
        <v>22.0</v>
      </c>
      <c r="G19" s="7">
        <v>32.0</v>
      </c>
      <c r="H19" s="10">
        <v>12.0</v>
      </c>
      <c r="I19" s="10">
        <v>12.207</v>
      </c>
      <c r="J19" s="10" t="s">
        <v>914</v>
      </c>
      <c r="K19" s="11" t="str">
        <f t="shared" si="1"/>
        <v>Floor 5|3.2</v>
      </c>
    </row>
    <row r="20" ht="22.5" customHeight="1">
      <c r="A20" s="28" t="s">
        <v>915</v>
      </c>
      <c r="B20" s="8" t="s">
        <v>19</v>
      </c>
      <c r="C20" s="9">
        <v>4.1</v>
      </c>
      <c r="D20" s="8" t="s">
        <v>20</v>
      </c>
      <c r="E20" s="7">
        <v>42.0</v>
      </c>
      <c r="F20" s="7">
        <v>29.0</v>
      </c>
      <c r="G20" s="7">
        <v>34.0</v>
      </c>
      <c r="H20" s="10">
        <v>23.0</v>
      </c>
      <c r="I20" s="10">
        <v>10.0</v>
      </c>
      <c r="J20" s="10" t="s">
        <v>916</v>
      </c>
      <c r="K20" s="11" t="str">
        <f t="shared" si="1"/>
        <v>Floor 5|4.1</v>
      </c>
    </row>
    <row r="21" ht="22.5" customHeight="1">
      <c r="A21" s="28" t="s">
        <v>917</v>
      </c>
      <c r="B21" s="8" t="s">
        <v>19</v>
      </c>
      <c r="C21" s="9">
        <v>4.1</v>
      </c>
      <c r="D21" s="8" t="s">
        <v>20</v>
      </c>
      <c r="E21" s="7">
        <v>42.0</v>
      </c>
      <c r="F21" s="7">
        <v>29.0</v>
      </c>
      <c r="G21" s="7">
        <v>35.0</v>
      </c>
      <c r="H21" s="10">
        <v>23.0</v>
      </c>
      <c r="I21" s="10">
        <v>9.22</v>
      </c>
      <c r="J21" s="10" t="s">
        <v>918</v>
      </c>
      <c r="K21" s="11" t="str">
        <f t="shared" si="1"/>
        <v>Floor 5|4.1</v>
      </c>
    </row>
    <row r="22" ht="22.5" customHeight="1">
      <c r="A22" s="28" t="s">
        <v>919</v>
      </c>
      <c r="B22" s="8" t="s">
        <v>19</v>
      </c>
      <c r="C22" s="9">
        <v>4.1</v>
      </c>
      <c r="D22" s="8" t="s">
        <v>20</v>
      </c>
      <c r="E22" s="7">
        <v>42.0</v>
      </c>
      <c r="F22" s="7">
        <v>29.0</v>
      </c>
      <c r="G22" s="7">
        <v>37.0</v>
      </c>
      <c r="H22" s="10">
        <v>22.0</v>
      </c>
      <c r="I22" s="10">
        <v>8.602</v>
      </c>
      <c r="J22" s="10" t="s">
        <v>920</v>
      </c>
      <c r="K22" s="11" t="str">
        <f t="shared" si="1"/>
        <v>Floor 5|4.1</v>
      </c>
    </row>
    <row r="23" ht="22.5" customHeight="1">
      <c r="A23" s="28" t="s">
        <v>921</v>
      </c>
      <c r="B23" s="8" t="s">
        <v>19</v>
      </c>
      <c r="C23" s="9">
        <v>4.2</v>
      </c>
      <c r="D23" s="8" t="s">
        <v>20</v>
      </c>
      <c r="E23" s="7">
        <v>42.0</v>
      </c>
      <c r="F23" s="7">
        <v>29.0</v>
      </c>
      <c r="G23" s="7">
        <v>32.0</v>
      </c>
      <c r="H23" s="10">
        <v>12.0</v>
      </c>
      <c r="I23" s="10">
        <v>19.723</v>
      </c>
      <c r="J23" s="10" t="s">
        <v>922</v>
      </c>
      <c r="K23" s="11" t="str">
        <f t="shared" si="1"/>
        <v>Floor 5|4.2</v>
      </c>
    </row>
    <row r="24" ht="22.5" customHeight="1">
      <c r="A24" s="28" t="s">
        <v>923</v>
      </c>
      <c r="B24" s="8" t="s">
        <v>19</v>
      </c>
      <c r="C24" s="9">
        <v>4.2</v>
      </c>
      <c r="D24" s="8" t="s">
        <v>20</v>
      </c>
      <c r="E24" s="7">
        <v>42.0</v>
      </c>
      <c r="F24" s="7">
        <v>29.0</v>
      </c>
      <c r="G24" s="7">
        <v>32.0</v>
      </c>
      <c r="H24" s="10">
        <v>12.0</v>
      </c>
      <c r="I24" s="10">
        <v>19.723</v>
      </c>
      <c r="J24" s="10" t="s">
        <v>924</v>
      </c>
      <c r="K24" s="11" t="str">
        <f t="shared" si="1"/>
        <v>Floor 5|4.2</v>
      </c>
    </row>
    <row r="25" ht="22.5" customHeight="1">
      <c r="A25" s="28" t="s">
        <v>925</v>
      </c>
      <c r="B25" s="8" t="s">
        <v>19</v>
      </c>
      <c r="C25" s="9">
        <v>4.2</v>
      </c>
      <c r="D25" s="8" t="s">
        <v>20</v>
      </c>
      <c r="E25" s="7">
        <v>42.0</v>
      </c>
      <c r="F25" s="7">
        <v>29.0</v>
      </c>
      <c r="G25" s="7">
        <v>32.0</v>
      </c>
      <c r="H25" s="10">
        <v>12.0</v>
      </c>
      <c r="I25" s="10">
        <v>19.723</v>
      </c>
      <c r="J25" s="10" t="s">
        <v>926</v>
      </c>
      <c r="K25" s="11" t="str">
        <f t="shared" si="1"/>
        <v>Floor 5|4.2</v>
      </c>
    </row>
    <row r="26" ht="22.5" customHeight="1">
      <c r="A26" s="28" t="s">
        <v>927</v>
      </c>
      <c r="B26" s="8" t="s">
        <v>19</v>
      </c>
      <c r="C26" s="9">
        <v>5.1</v>
      </c>
      <c r="D26" s="8" t="s">
        <v>20</v>
      </c>
      <c r="E26" s="7">
        <v>46.0</v>
      </c>
      <c r="F26" s="7">
        <v>30.0</v>
      </c>
      <c r="G26" s="7">
        <v>44.0</v>
      </c>
      <c r="H26" s="10">
        <v>30.0</v>
      </c>
      <c r="I26" s="10">
        <v>2.0</v>
      </c>
      <c r="J26" s="10" t="s">
        <v>928</v>
      </c>
      <c r="K26" s="11" t="str">
        <f t="shared" si="1"/>
        <v>Floor 5|5.1</v>
      </c>
    </row>
    <row r="27" ht="22.5" customHeight="1">
      <c r="A27" s="28" t="s">
        <v>929</v>
      </c>
      <c r="B27" s="8" t="s">
        <v>19</v>
      </c>
      <c r="C27" s="9">
        <v>5.1</v>
      </c>
      <c r="D27" s="8" t="s">
        <v>20</v>
      </c>
      <c r="E27" s="7">
        <v>46.0</v>
      </c>
      <c r="F27" s="7">
        <v>30.0</v>
      </c>
      <c r="G27" s="7">
        <v>45.0</v>
      </c>
      <c r="H27" s="10">
        <v>30.0</v>
      </c>
      <c r="I27" s="10">
        <v>1.0</v>
      </c>
      <c r="J27" s="10" t="s">
        <v>930</v>
      </c>
      <c r="K27" s="11" t="str">
        <f t="shared" si="1"/>
        <v>Floor 5|5.1</v>
      </c>
    </row>
    <row r="28" ht="22.5" customHeight="1">
      <c r="A28" s="28" t="s">
        <v>931</v>
      </c>
      <c r="B28" s="8" t="s">
        <v>19</v>
      </c>
      <c r="C28" s="9">
        <v>5.1</v>
      </c>
      <c r="D28" s="8" t="s">
        <v>20</v>
      </c>
      <c r="E28" s="7">
        <v>46.0</v>
      </c>
      <c r="F28" s="7">
        <v>30.0</v>
      </c>
      <c r="G28" s="7">
        <v>45.0</v>
      </c>
      <c r="H28" s="10">
        <v>30.0</v>
      </c>
      <c r="I28" s="10">
        <v>1.0</v>
      </c>
      <c r="J28" s="10" t="s">
        <v>932</v>
      </c>
      <c r="K28" s="11" t="str">
        <f t="shared" si="1"/>
        <v>Floor 5|5.1</v>
      </c>
    </row>
    <row r="29" ht="22.5" customHeight="1">
      <c r="A29" s="28" t="s">
        <v>933</v>
      </c>
      <c r="B29" s="8" t="s">
        <v>19</v>
      </c>
      <c r="C29" s="9">
        <v>5.2</v>
      </c>
      <c r="D29" s="8" t="s">
        <v>20</v>
      </c>
      <c r="E29" s="7">
        <v>46.0</v>
      </c>
      <c r="F29" s="7">
        <v>30.0</v>
      </c>
      <c r="G29" s="7">
        <v>48.0</v>
      </c>
      <c r="H29" s="10">
        <v>30.0</v>
      </c>
      <c r="I29" s="10">
        <v>2.0</v>
      </c>
      <c r="J29" s="10" t="s">
        <v>934</v>
      </c>
      <c r="K29" s="11" t="str">
        <f t="shared" si="1"/>
        <v>Floor 5|5.2</v>
      </c>
    </row>
    <row r="30" ht="22.5" customHeight="1">
      <c r="A30" s="28" t="s">
        <v>935</v>
      </c>
      <c r="B30" s="8" t="s">
        <v>19</v>
      </c>
      <c r="C30" s="9">
        <v>5.2</v>
      </c>
      <c r="D30" s="8" t="s">
        <v>20</v>
      </c>
      <c r="E30" s="7">
        <v>46.0</v>
      </c>
      <c r="F30" s="7">
        <v>30.0</v>
      </c>
      <c r="G30" s="7">
        <v>48.0</v>
      </c>
      <c r="H30" s="10">
        <v>30.0</v>
      </c>
      <c r="I30" s="10">
        <v>2.0</v>
      </c>
      <c r="J30" s="10" t="s">
        <v>936</v>
      </c>
      <c r="K30" s="11" t="str">
        <f t="shared" si="1"/>
        <v>Floor 5|5.2</v>
      </c>
    </row>
    <row r="31" ht="22.5" customHeight="1">
      <c r="A31" s="28" t="s">
        <v>937</v>
      </c>
      <c r="B31" s="8" t="s">
        <v>19</v>
      </c>
      <c r="C31" s="9">
        <v>5.2</v>
      </c>
      <c r="D31" s="8" t="s">
        <v>20</v>
      </c>
      <c r="E31" s="7">
        <v>46.0</v>
      </c>
      <c r="F31" s="7">
        <v>30.0</v>
      </c>
      <c r="G31" s="7">
        <v>49.0</v>
      </c>
      <c r="H31" s="10">
        <v>31.0</v>
      </c>
      <c r="I31" s="10">
        <v>3.162</v>
      </c>
      <c r="J31" s="10" t="s">
        <v>938</v>
      </c>
      <c r="K31" s="11" t="str">
        <f t="shared" si="1"/>
        <v>Floor 5|5.2</v>
      </c>
    </row>
    <row r="32" ht="22.5" customHeight="1">
      <c r="A32" s="28" t="s">
        <v>939</v>
      </c>
      <c r="B32" s="8" t="s">
        <v>19</v>
      </c>
      <c r="C32" s="9">
        <v>6.1</v>
      </c>
      <c r="D32" s="8" t="s">
        <v>20</v>
      </c>
      <c r="E32" s="7">
        <v>48.0</v>
      </c>
      <c r="F32" s="7">
        <v>27.0</v>
      </c>
      <c r="G32" s="7">
        <v>43.0</v>
      </c>
      <c r="H32" s="10">
        <v>31.0</v>
      </c>
      <c r="I32" s="10">
        <v>6.403</v>
      </c>
      <c r="J32" s="10" t="s">
        <v>940</v>
      </c>
      <c r="K32" s="11" t="str">
        <f t="shared" si="1"/>
        <v>Floor 5|6.1</v>
      </c>
    </row>
    <row r="33" ht="22.5" customHeight="1">
      <c r="A33" s="28" t="s">
        <v>941</v>
      </c>
      <c r="B33" s="8" t="s">
        <v>19</v>
      </c>
      <c r="C33" s="9">
        <v>6.1</v>
      </c>
      <c r="D33" s="8" t="s">
        <v>20</v>
      </c>
      <c r="E33" s="7">
        <v>48.0</v>
      </c>
      <c r="F33" s="7">
        <v>27.0</v>
      </c>
      <c r="G33" s="7">
        <v>44.0</v>
      </c>
      <c r="H33" s="10">
        <v>31.0</v>
      </c>
      <c r="I33" s="10">
        <v>5.657</v>
      </c>
      <c r="J33" s="10" t="s">
        <v>942</v>
      </c>
      <c r="K33" s="11" t="str">
        <f t="shared" si="1"/>
        <v>Floor 5|6.1</v>
      </c>
    </row>
    <row r="34" ht="22.5" customHeight="1">
      <c r="A34" s="28" t="s">
        <v>943</v>
      </c>
      <c r="B34" s="8" t="s">
        <v>19</v>
      </c>
      <c r="C34" s="9">
        <v>6.1</v>
      </c>
      <c r="D34" s="8" t="s">
        <v>20</v>
      </c>
      <c r="E34" s="7">
        <v>48.0</v>
      </c>
      <c r="F34" s="7">
        <v>27.0</v>
      </c>
      <c r="G34" s="7">
        <v>45.0</v>
      </c>
      <c r="H34" s="10">
        <v>30.0</v>
      </c>
      <c r="I34" s="10">
        <v>4.243</v>
      </c>
      <c r="J34" s="10" t="s">
        <v>944</v>
      </c>
      <c r="K34" s="11" t="str">
        <f t="shared" si="1"/>
        <v>Floor 5|6.1</v>
      </c>
    </row>
    <row r="35" ht="22.5" customHeight="1">
      <c r="A35" s="28" t="s">
        <v>945</v>
      </c>
      <c r="B35" s="8" t="s">
        <v>19</v>
      </c>
      <c r="C35" s="9">
        <v>6.2</v>
      </c>
      <c r="D35" s="8" t="s">
        <v>20</v>
      </c>
      <c r="E35" s="7">
        <v>48.0</v>
      </c>
      <c r="F35" s="7">
        <v>27.0</v>
      </c>
      <c r="G35" s="7">
        <v>48.0</v>
      </c>
      <c r="H35" s="10">
        <v>31.0</v>
      </c>
      <c r="I35" s="10">
        <v>4.0</v>
      </c>
      <c r="J35" s="10" t="s">
        <v>946</v>
      </c>
      <c r="K35" s="11" t="str">
        <f t="shared" si="1"/>
        <v>Floor 5|6.2</v>
      </c>
    </row>
    <row r="36" ht="22.5" customHeight="1">
      <c r="A36" s="28" t="s">
        <v>947</v>
      </c>
      <c r="B36" s="8" t="s">
        <v>19</v>
      </c>
      <c r="C36" s="9">
        <v>6.2</v>
      </c>
      <c r="D36" s="8" t="s">
        <v>20</v>
      </c>
      <c r="E36" s="7">
        <v>48.0</v>
      </c>
      <c r="F36" s="7">
        <v>27.0</v>
      </c>
      <c r="G36" s="7">
        <v>45.0</v>
      </c>
      <c r="H36" s="10">
        <v>30.0</v>
      </c>
      <c r="I36" s="10">
        <v>4.243</v>
      </c>
      <c r="J36" s="10" t="s">
        <v>948</v>
      </c>
      <c r="K36" s="11" t="str">
        <f t="shared" si="1"/>
        <v>Floor 5|6.2</v>
      </c>
    </row>
    <row r="37" ht="22.5" customHeight="1">
      <c r="A37" s="28" t="s">
        <v>949</v>
      </c>
      <c r="B37" s="8" t="s">
        <v>19</v>
      </c>
      <c r="C37" s="9">
        <v>6.2</v>
      </c>
      <c r="D37" s="8" t="s">
        <v>20</v>
      </c>
      <c r="E37" s="7">
        <v>48.0</v>
      </c>
      <c r="F37" s="7">
        <v>27.0</v>
      </c>
      <c r="G37" s="7">
        <v>44.0</v>
      </c>
      <c r="H37" s="10">
        <v>30.0</v>
      </c>
      <c r="I37" s="10">
        <v>5.0</v>
      </c>
      <c r="J37" s="10" t="s">
        <v>950</v>
      </c>
      <c r="K37" s="11" t="str">
        <f t="shared" si="1"/>
        <v>Floor 5|6.2</v>
      </c>
    </row>
  </sheetData>
  <dataValidations>
    <dataValidation type="list" allowBlank="1" sqref="B2:B37">
      <formula1>"Floor 3,Floor 5"</formula1>
    </dataValidation>
    <dataValidation type="list" allowBlank="1" sqref="D2:D37">
      <formula1>"Wide,Panorama"</formula1>
    </dataValidation>
  </dataValidation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s>
  <sheetData>
    <row r="1">
      <c r="A1" s="6" t="s">
        <v>951</v>
      </c>
    </row>
    <row r="2">
      <c r="A2" s="43"/>
      <c r="B2" s="43" t="s">
        <v>952</v>
      </c>
      <c r="C2" s="44" t="s">
        <v>953</v>
      </c>
      <c r="D2" s="44" t="s">
        <v>954</v>
      </c>
      <c r="E2" s="6" t="s">
        <v>955</v>
      </c>
    </row>
    <row r="3">
      <c r="A3" s="43" t="s">
        <v>956</v>
      </c>
      <c r="B3" s="45">
        <v>9.594944444</v>
      </c>
      <c r="C3" s="46">
        <v>9.500499999999999</v>
      </c>
      <c r="D3" s="46">
        <v>9.571444444444452</v>
      </c>
      <c r="E3" s="12">
        <f>AVERAGE(B3:D3)</f>
        <v>9.555629629</v>
      </c>
    </row>
    <row r="5">
      <c r="A5" s="6" t="s">
        <v>957</v>
      </c>
    </row>
    <row r="6">
      <c r="A6" s="47"/>
      <c r="B6" s="6" t="s">
        <v>952</v>
      </c>
      <c r="C6" s="6" t="s">
        <v>953</v>
      </c>
      <c r="D6" s="6" t="s">
        <v>954</v>
      </c>
      <c r="E6" s="6" t="s">
        <v>955</v>
      </c>
    </row>
    <row r="7">
      <c r="A7" s="6" t="s">
        <v>20</v>
      </c>
      <c r="B7" s="6">
        <v>9.267680556</v>
      </c>
      <c r="C7" s="12">
        <v>9.572652777777773</v>
      </c>
      <c r="D7" s="12">
        <v>9.317111111111114</v>
      </c>
      <c r="E7" s="12">
        <f t="shared" ref="E7:E8" si="1">AVERAGE(B7:D7)</f>
        <v>9.385814815</v>
      </c>
    </row>
    <row r="8">
      <c r="A8" s="6" t="s">
        <v>39</v>
      </c>
      <c r="B8" s="6">
        <v>10.24947222</v>
      </c>
      <c r="C8" s="12">
        <v>9.356194444444444</v>
      </c>
      <c r="D8" s="12">
        <v>10.08011111111111</v>
      </c>
      <c r="E8" s="12">
        <f t="shared" si="1"/>
        <v>9.895259259</v>
      </c>
    </row>
    <row r="9">
      <c r="A9" s="47"/>
    </row>
    <row r="10">
      <c r="A10" s="6" t="s">
        <v>958</v>
      </c>
    </row>
    <row r="11">
      <c r="A11" s="47"/>
      <c r="B11" s="6" t="s">
        <v>952</v>
      </c>
      <c r="C11" s="6" t="s">
        <v>953</v>
      </c>
      <c r="D11" s="6" t="s">
        <v>954</v>
      </c>
      <c r="E11" s="6" t="s">
        <v>955</v>
      </c>
    </row>
    <row r="12">
      <c r="A12" s="6" t="s">
        <v>171</v>
      </c>
      <c r="B12" s="6">
        <v>11.3712963</v>
      </c>
      <c r="C12" s="12">
        <v>11.229555555555548</v>
      </c>
      <c r="D12" s="12">
        <v>12.489925925925931</v>
      </c>
      <c r="E12" s="12">
        <f t="shared" ref="E12:E13" si="2">AVERAGE(B12:D12)</f>
        <v>11.69692593</v>
      </c>
    </row>
    <row r="13">
      <c r="A13" s="6" t="s">
        <v>19</v>
      </c>
      <c r="B13" s="6">
        <v>7.818592593</v>
      </c>
      <c r="C13" s="12">
        <v>7.77144444444444</v>
      </c>
      <c r="D13" s="12">
        <v>6.652962962962963</v>
      </c>
      <c r="E13" s="12">
        <f t="shared" si="2"/>
        <v>7.414333333</v>
      </c>
    </row>
    <row r="14">
      <c r="A14" s="47"/>
    </row>
    <row r="15">
      <c r="A15" s="6" t="s">
        <v>959</v>
      </c>
    </row>
    <row r="16">
      <c r="A16" s="47"/>
      <c r="B16" s="6" t="s">
        <v>956</v>
      </c>
      <c r="C16" s="6" t="s">
        <v>960</v>
      </c>
      <c r="D16" s="6" t="s">
        <v>961</v>
      </c>
    </row>
    <row r="17">
      <c r="A17" s="6" t="s">
        <v>962</v>
      </c>
      <c r="B17" s="12">
        <v>7.77144444444444</v>
      </c>
      <c r="C17" s="12">
        <v>6.7811111111111115</v>
      </c>
      <c r="D17" s="12">
        <v>6.106083333333334</v>
      </c>
    </row>
    <row r="19">
      <c r="A19" s="47"/>
    </row>
    <row r="22">
      <c r="A22" s="6" t="s">
        <v>963</v>
      </c>
    </row>
    <row r="23">
      <c r="B23" s="6" t="s">
        <v>964</v>
      </c>
      <c r="C23" s="6" t="s">
        <v>965</v>
      </c>
      <c r="F23" s="6" t="s">
        <v>966</v>
      </c>
    </row>
    <row r="24">
      <c r="A24" s="6" t="s">
        <v>967</v>
      </c>
      <c r="B24" s="48">
        <v>92.424242</v>
      </c>
      <c r="C24" s="6">
        <v>122.0</v>
      </c>
    </row>
    <row r="25">
      <c r="A25" s="6" t="s">
        <v>968</v>
      </c>
      <c r="B25" s="48">
        <v>61.363636</v>
      </c>
      <c r="C25" s="6">
        <v>81.0</v>
      </c>
    </row>
    <row r="26">
      <c r="A26" s="6" t="s">
        <v>969</v>
      </c>
      <c r="B26" s="6">
        <v>0.21212121</v>
      </c>
      <c r="C26" s="6">
        <v>28.0</v>
      </c>
      <c r="I26" s="6">
        <v>132.0</v>
      </c>
    </row>
    <row r="27">
      <c r="A27" s="6" t="s">
        <v>970</v>
      </c>
      <c r="B27" s="6">
        <v>0.13636364</v>
      </c>
      <c r="C27" s="6">
        <v>18.0</v>
      </c>
    </row>
    <row r="28">
      <c r="A28" s="6" t="s">
        <v>971</v>
      </c>
      <c r="B28" s="6">
        <v>0.07575758</v>
      </c>
      <c r="C28" s="6">
        <v>10.0</v>
      </c>
    </row>
    <row r="29">
      <c r="A29" s="47"/>
    </row>
    <row r="30">
      <c r="A30" s="47"/>
    </row>
    <row r="31">
      <c r="A31" s="47"/>
    </row>
    <row r="32">
      <c r="A32" s="47"/>
    </row>
    <row r="33">
      <c r="A33" s="47"/>
    </row>
    <row r="34">
      <c r="A34" s="47"/>
    </row>
    <row r="35">
      <c r="A35" s="47"/>
    </row>
    <row r="36">
      <c r="A36" s="47"/>
    </row>
    <row r="37">
      <c r="A37" s="47"/>
    </row>
    <row r="38">
      <c r="A38" s="47"/>
    </row>
    <row r="39">
      <c r="A39" s="47"/>
    </row>
    <row r="40">
      <c r="A40" s="47"/>
    </row>
    <row r="41">
      <c r="A41" s="47"/>
    </row>
    <row r="42">
      <c r="A42" s="47"/>
    </row>
    <row r="43">
      <c r="A43" s="47"/>
    </row>
    <row r="44">
      <c r="A44" s="47"/>
    </row>
    <row r="45">
      <c r="A45" s="47"/>
    </row>
    <row r="46">
      <c r="A46" s="47"/>
    </row>
    <row r="47">
      <c r="A47" s="47"/>
    </row>
    <row r="48">
      <c r="A48" s="47"/>
    </row>
    <row r="49">
      <c r="A49" s="47"/>
    </row>
    <row r="50">
      <c r="A50" s="47"/>
    </row>
    <row r="51">
      <c r="A51" s="47"/>
    </row>
    <row r="52">
      <c r="A52" s="47"/>
    </row>
    <row r="53">
      <c r="A53" s="47"/>
    </row>
    <row r="54">
      <c r="A54" s="47"/>
    </row>
    <row r="55">
      <c r="A55" s="47"/>
    </row>
    <row r="56">
      <c r="A56" s="47"/>
    </row>
    <row r="57">
      <c r="A57" s="47"/>
    </row>
    <row r="58">
      <c r="A58" s="47"/>
    </row>
    <row r="59">
      <c r="A59" s="47"/>
    </row>
    <row r="60">
      <c r="A60" s="47"/>
    </row>
    <row r="61">
      <c r="A61" s="47"/>
    </row>
    <row r="62">
      <c r="A62" s="47"/>
    </row>
    <row r="63">
      <c r="A63" s="47"/>
    </row>
    <row r="64">
      <c r="A64" s="47"/>
    </row>
    <row r="65">
      <c r="A65" s="47"/>
    </row>
    <row r="66">
      <c r="A66" s="47"/>
    </row>
    <row r="67">
      <c r="A67" s="47"/>
    </row>
    <row r="68">
      <c r="A68" s="47"/>
    </row>
    <row r="69">
      <c r="A69" s="47"/>
    </row>
    <row r="70">
      <c r="A70" s="47"/>
    </row>
    <row r="71">
      <c r="A71" s="47"/>
    </row>
    <row r="72">
      <c r="A72" s="47"/>
    </row>
    <row r="73">
      <c r="A73" s="47"/>
    </row>
    <row r="74">
      <c r="A74" s="47"/>
    </row>
    <row r="75">
      <c r="A75" s="47"/>
    </row>
    <row r="76">
      <c r="A76" s="47"/>
    </row>
    <row r="77">
      <c r="A77" s="47"/>
    </row>
    <row r="78">
      <c r="A78" s="47"/>
    </row>
    <row r="79">
      <c r="A79" s="47"/>
    </row>
    <row r="80">
      <c r="A80" s="47"/>
    </row>
    <row r="81">
      <c r="A81" s="47"/>
    </row>
    <row r="82">
      <c r="A82" s="47"/>
    </row>
    <row r="83">
      <c r="A83" s="47"/>
    </row>
    <row r="84">
      <c r="A84" s="47"/>
    </row>
    <row r="85">
      <c r="A85" s="47"/>
    </row>
    <row r="86">
      <c r="A86" s="47"/>
    </row>
    <row r="87">
      <c r="A87" s="47"/>
    </row>
    <row r="88">
      <c r="A88" s="47"/>
    </row>
    <row r="89">
      <c r="A89" s="47"/>
    </row>
    <row r="90">
      <c r="A90" s="47"/>
    </row>
    <row r="91">
      <c r="A91" s="47"/>
    </row>
    <row r="92">
      <c r="A92" s="47"/>
    </row>
    <row r="93">
      <c r="A93" s="47"/>
    </row>
    <row r="94">
      <c r="A94" s="47"/>
    </row>
    <row r="95">
      <c r="A95" s="47"/>
    </row>
    <row r="96">
      <c r="A96" s="47"/>
    </row>
    <row r="97">
      <c r="A97" s="47"/>
    </row>
    <row r="98">
      <c r="A98" s="47"/>
    </row>
    <row r="99">
      <c r="A99" s="47"/>
    </row>
    <row r="100">
      <c r="A100" s="47"/>
    </row>
    <row r="101">
      <c r="A101" s="47"/>
    </row>
    <row r="102">
      <c r="A102" s="47"/>
    </row>
    <row r="103">
      <c r="A103" s="47"/>
    </row>
    <row r="104">
      <c r="A104" s="47"/>
    </row>
    <row r="105">
      <c r="A105" s="47"/>
    </row>
    <row r="106">
      <c r="A106" s="47"/>
    </row>
    <row r="107">
      <c r="A107" s="47"/>
    </row>
    <row r="108">
      <c r="A108" s="47"/>
    </row>
    <row r="109">
      <c r="A109" s="47"/>
    </row>
    <row r="110">
      <c r="A110" s="4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s>
  <sheetData>
    <row r="1" ht="22.5" customHeight="1">
      <c r="A1" s="28" t="s">
        <v>972</v>
      </c>
      <c r="B1" s="28" t="s">
        <v>973</v>
      </c>
    </row>
    <row r="2" ht="22.5" customHeight="1">
      <c r="A2" s="7" t="s">
        <v>974</v>
      </c>
      <c r="B2" s="15">
        <f>AVERAGE('Area prompt'!I2:I1000)</f>
        <v>9.5005</v>
      </c>
    </row>
    <row r="3" ht="22.5" customHeight="1">
      <c r="A3" s="7" t="s">
        <v>975</v>
      </c>
      <c r="B3" s="15">
        <f>AVERAGE('Pixel prompt'!I2:I1000)</f>
        <v>9.594944444</v>
      </c>
    </row>
    <row r="4" ht="22.5" customHeight="1">
      <c r="A4" s="7" t="s">
        <v>976</v>
      </c>
      <c r="B4" s="15">
        <f>AVERAGE('Semantic prompt'!I2:I1000)</f>
        <v>9.571444444</v>
      </c>
    </row>
    <row r="5" ht="22.5" customHeight="1">
      <c r="A5" s="7" t="s">
        <v>977</v>
      </c>
      <c r="B5" s="15">
        <f>IFERROR(__xludf.DUMMYFUNCTION("AVERAGE({
  FILTER('Area prompt'!I2:I1000, 'Area prompt'!B2:B1000=""Floor 5"");
  FILTER('Pixel prompt'!I2:I1000, 'Pixel prompt'!B2:B1000=""Floor 5"");
  FILTER('Semantic prompt'!I2:I1000, 'Semantic prompt'!B2:B1000=""Floor 5"");
  FILTER('Gray Scale'!I2:"&amp;"I1000, 'Gray Scale'!B2:B1000=""Floor 5"");
  FILTER('Low Light'!I2:I1000, 'Low Light'!B2:B1000=""Floor 5"")
})"),7.115645299145294)</f>
        <v>7.115645299</v>
      </c>
    </row>
    <row r="6" ht="22.5" customHeight="1">
      <c r="A6" s="7" t="s">
        <v>978</v>
      </c>
      <c r="B6" s="15">
        <f>IFERROR(__xludf.DUMMYFUNCTION("AVERAGE({
  FILTER('Area prompt'!I3:I1000, 'Area prompt'!B3:B1000=""Floor 3"");
  FILTER('Pixel prompt'!I3:I1000, 'Pixel prompt'!B3:B1000=""Floor 3"");
  FILTER('Semantic prompt'!I3:I1000, 'Semantic prompt'!B3:B1000=""Floor 3"")
})"),11.696925925925926)</f>
        <v>11.69692593</v>
      </c>
    </row>
    <row r="7" ht="22.5" customHeight="1">
      <c r="A7" s="7" t="s">
        <v>39</v>
      </c>
      <c r="B7" s="15">
        <f>IFERROR(__xludf.DUMMYFUNCTION("AVERAGE({
  FILTER('Area prompt'!I2:I1000, 'Area prompt'!D2:D1000=""Panorama"");
  FILTER('Pixel prompt'!I2:I1000, 'Pixel prompt'!D2:D1000=""Panorama"");
  FILTER('Semantic prompt'!I2:I1000, 'Semantic prompt'!D2:D1000=""Panorama"")
})"),9.89525925925926)</f>
        <v>9.895259259</v>
      </c>
    </row>
    <row r="8" ht="22.5" customHeight="1">
      <c r="A8" s="7" t="s">
        <v>979</v>
      </c>
      <c r="B8" s="15">
        <f>IFERROR(__xludf.DUMMYFUNCTION("AVERAGE({
  FILTER('Area prompt'!I2:I1000, 'Area prompt'!D2:D1000=""Wide"");
  FILTER('Pixel prompt'!I2:I1000, 'Pixel prompt'!D2:D1000=""Wide"");
  FILTER('Semantic prompt'!I2:I1000, 'Semantic prompt'!D2:D1000=""Wide"");
  FILTER('Gray Scale'!I2:I1000, 'G"&amp;"ray Scale'!D2:D1000=""Wide"");
  FILTER('Low Light'!I2:I1000, 'Low Light'!D2:D1000=""Wide"")
})"),8.650260416666669)</f>
        <v>8.650260417</v>
      </c>
    </row>
    <row r="9" ht="22.5" customHeight="1">
      <c r="A9" s="7" t="s">
        <v>956</v>
      </c>
      <c r="B9" s="15">
        <f>AVERAGE(Raw!I2:I1000)</f>
        <v>7.912527778</v>
      </c>
    </row>
    <row r="10" ht="22.5" customHeight="1">
      <c r="A10" s="7" t="s">
        <v>960</v>
      </c>
      <c r="B10" s="15">
        <f>AVERAGE('Gray Scale'!I2:I1000)</f>
        <v>6.781111111</v>
      </c>
    </row>
    <row r="11" ht="22.5" customHeight="1">
      <c r="A11" s="7" t="s">
        <v>961</v>
      </c>
      <c r="B11" s="15">
        <f>AVERAGE('Low Light'!I2:I1000)</f>
        <v>6.106083333</v>
      </c>
    </row>
    <row r="12" ht="22.5" customHeight="1">
      <c r="A12" s="7" t="s">
        <v>980</v>
      </c>
      <c r="B12" s="15">
        <f>AVERAGE('Double prompt'!H2:H1000)</f>
        <v>10.35588889</v>
      </c>
    </row>
    <row r="13" ht="22.5" customHeight="1">
      <c r="A13" s="7" t="s">
        <v>981</v>
      </c>
      <c r="B13" s="15">
        <f>IFERROR(__xludf.DUMMYFUNCTION("AVERAGE({
  FILTER('Area prompt'!I2:I1000, 'Area prompt'!D2:D1000=""Wide"")})"),9.572652777777773)</f>
        <v>9.572652778</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28" t="s">
        <v>972</v>
      </c>
      <c r="B1" s="29" t="s">
        <v>982</v>
      </c>
      <c r="C1" s="29" t="s">
        <v>983</v>
      </c>
      <c r="D1" s="29" t="s">
        <v>282</v>
      </c>
      <c r="E1" s="29" t="s">
        <v>283</v>
      </c>
      <c r="F1" s="29" t="s">
        <v>984</v>
      </c>
    </row>
    <row r="2" ht="22.5" customHeight="1">
      <c r="A2" s="7" t="s">
        <v>974</v>
      </c>
      <c r="B2" s="11">
        <f>MAX('Area prompt'!I2:I1000)-MIN('Area prompt'!I2:I1000)</f>
        <v>30.017</v>
      </c>
      <c r="C2" s="11"/>
      <c r="D2" s="11"/>
      <c r="E2" s="11"/>
      <c r="F2" s="11"/>
    </row>
    <row r="3" ht="22.5" customHeight="1">
      <c r="A3" s="7" t="s">
        <v>975</v>
      </c>
      <c r="B3" s="11">
        <f>MAX('Pixel prompt'!I2:I1000)-MIN('Pixel prompt'!I2:I1000)</f>
        <v>30.575</v>
      </c>
      <c r="C3" s="11"/>
      <c r="D3" s="11"/>
      <c r="E3" s="11"/>
      <c r="F3" s="11"/>
    </row>
    <row r="4" ht="22.5" customHeight="1">
      <c r="A4" s="7" t="s">
        <v>976</v>
      </c>
      <c r="B4" s="11">
        <f>MAX('Semantic prompt'!I3:I1000)-MIN('Semantic prompt'!I3:I1000)</f>
        <v>31.78</v>
      </c>
      <c r="C4" s="11"/>
      <c r="D4" s="11"/>
      <c r="E4" s="11"/>
      <c r="F4" s="11"/>
    </row>
    <row r="5" ht="22.5" customHeight="1">
      <c r="A5" s="7" t="s">
        <v>977</v>
      </c>
      <c r="B5" s="11">
        <f>IFERROR(__xludf.DUMMYFUNCTION("MAX({
  FILTER('Area prompt'!I2:I1000, 'Area prompt'!B2:B1000=""Floor 5"");
  FILTER('Pixel prompt'!I2:I1000, 'Pixel prompt'!B2:B1000=""Floor 5"");
  FILTER('Semantic prompt'!I2:I1000, 'Semantic prompt'!B2:B1000=""Floor 5"");
  FILTER('Gray Scale'!I2:I100"&amp;"0, 'Gray Scale'!B2:B1000=""Floor 5"");
  FILTER('Low Light'!I2:I1000, 'Low Light'!B2:B1000=""Floor 5"")
})
-
MIN({
  FILTER('Area prompt'!I2:I1000, 'Area prompt'!B2:B1000=""Floor 5"");
  FILTER('Pixel prompt'!I2:I1000, 'Pixel prompt'!B2:B1000=""Floor 5"")"&amp;";
  FILTER('Semantic prompt'!I2:I1000, 'Semantic prompt'!B2:B1000=""Floor 5"");
  FILTER('Gray Scale'!I2:I1000, 'Gray Scale'!B2:B1000=""Floor 5"");
  FILTER('Low Light'!I2:I1000, 'Low Light'!B2:B1000=""Floor 5"")
})"),21.401)</f>
        <v>21.401</v>
      </c>
      <c r="C5" s="11"/>
      <c r="D5" s="11"/>
      <c r="E5" s="11"/>
      <c r="F5" s="11"/>
    </row>
    <row r="6" ht="22.5" customHeight="1">
      <c r="A6" s="7" t="s">
        <v>978</v>
      </c>
      <c r="B6" s="11">
        <f>IFERROR(__xludf.DUMMYFUNCTION("MAX({
  FILTER('Area prompt'!I2:I1000, 'Area prompt'!B2:B1000=""Floor 3"");
  FILTER('Pixel prompt'!I2:I1000, 'Pixel prompt'!B2:B1000=""Floor 3"");
  FILTER('Semantic prompt'!I2:I1000, 'Semantic prompt'!B2:B1000=""Floor 3"")
})
-
MIN({
  FILTER('Area prom"&amp;"pt'!I2:I1000, 'Area prompt'!B2:B1000=""Floor 3"");
  FILTER('Pixel prompt'!I2:I1000, 'Pixel prompt'!B2:B1000=""Floor 3"");
  FILTER('Semantic prompt'!I2:I1000, 'Semantic prompt'!B2:B1000=""Floor 3"")
})"),30.78)</f>
        <v>30.78</v>
      </c>
      <c r="C6" s="11"/>
      <c r="D6" s="11"/>
      <c r="E6" s="11"/>
      <c r="F6" s="11"/>
    </row>
    <row r="7" ht="22.5" customHeight="1">
      <c r="A7" s="7" t="s">
        <v>39</v>
      </c>
      <c r="B7" s="11">
        <f>IFERROR(__xludf.DUMMYFUNCTION("MAX({
  FILTER('Area prompt'!I2:I1000, 'Area prompt'!D2:D1000=""Panorama"");
  FILTER('Pixel prompt'!I2:I1000, 'Pixel prompt'!D2:D1000=""Panorama"");
  FILTER('Semantic prompt'!I2:I1000, 'Semantic prompt'!D2:D1000=""Panorama"")
})
-
MIN({
  FILTER('Area p"&amp;"rompt'!I2:I1000, 'Area prompt'!D2:D1000=""Panorama"");
  FILTER('Pixel prompt'!I2:I1000, 'Pixel prompt'!D2:D1000=""Panorama"");
  FILTER('Semantic prompt'!I2:I1000, 'Semantic prompt'!D2:D1000=""Panorama"")
})"),31.575)</f>
        <v>31.575</v>
      </c>
      <c r="C7" s="11"/>
      <c r="D7" s="11"/>
      <c r="E7" s="11"/>
      <c r="F7" s="11"/>
    </row>
    <row r="8" ht="22.5" customHeight="1">
      <c r="A8" s="7" t="s">
        <v>979</v>
      </c>
      <c r="B8" s="11">
        <f>IFERROR(__xludf.DUMMYFUNCTION("MAX({
  FILTER('Area prompt'!I2:I1000, 'Area prompt'!D2:D1000=""Wide"");
  FILTER('Pixel prompt'!I2:I1000, 'Pixel prompt'!D2:D1000=""Wide"");
  FILTER('Semantic prompt'!I2:I1000, 'Semantic prompt'!D2:D1000=""Wide"");
  FILTER('Gray Scale'!I2:I1000, 'Gray "&amp;"Scale'!D2:D1000=""Wide"");
  FILTER('Low Light'!I2:I1000, 'Low Light'!D2:D1000=""Wide"")
})
-
MIN({
  FILTER('Area prompt'!I2:I1000, 'Area prompt'!D2:D1000=""Wide"");
  FILTER('Pixel prompt'!I2:I1000, 'Pixel prompt'!D2:D1000=""Wide"");
  FILTER('Semantic "&amp;"prompt'!I2:I1000, 'Semantic prompt'!D2:D1000=""Wide"");
  FILTER('Gray Scale'!I2:I1000, 'Gray Scale'!D2:D1000=""Wide"");
  FILTER('Low Light'!I2:I1000, 'Low Light'!D2:D1000=""Wide"")
})"),31.78)</f>
        <v>31.78</v>
      </c>
      <c r="C8" s="11"/>
      <c r="D8" s="11"/>
      <c r="E8" s="11"/>
      <c r="F8" s="11"/>
    </row>
    <row r="9" ht="22.5" customHeight="1">
      <c r="A9" s="7" t="s">
        <v>956</v>
      </c>
      <c r="B9" s="11">
        <f>MAX(Raw!I2:I1000)-MIN(Raw!I2:I1000)</f>
        <v>21.26</v>
      </c>
      <c r="C9" s="11"/>
      <c r="D9" s="11"/>
      <c r="E9" s="11"/>
      <c r="F9" s="11"/>
    </row>
    <row r="10" ht="22.5" customHeight="1">
      <c r="A10" s="7" t="s">
        <v>960</v>
      </c>
      <c r="B10" s="11">
        <f>MAX('Gray Scale'!I2:I1000)-MIN('Gray Scale'!I2:I1000)</f>
        <v>18.723</v>
      </c>
      <c r="C10" s="11"/>
      <c r="D10" s="11"/>
      <c r="E10" s="11"/>
      <c r="F10" s="11"/>
    </row>
    <row r="11" ht="22.5" customHeight="1">
      <c r="A11" s="7" t="s">
        <v>961</v>
      </c>
      <c r="B11" s="11">
        <f>MAX('Low Light'!I2:I1000)-MIN('Low Light'!I2:I1000)</f>
        <v>18.723</v>
      </c>
      <c r="C11" s="11"/>
      <c r="D11" s="11"/>
      <c r="E11" s="11"/>
      <c r="F11" s="11"/>
    </row>
  </sheetData>
  <drawing r:id="rId1"/>
  <tableParts count="1">
    <tablePart r:id="rId3"/>
  </tableParts>
</worksheet>
</file>